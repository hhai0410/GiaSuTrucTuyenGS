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ấu trúc nhóm" sheetId="1" r:id="rId5"/>
    <sheet state="visible" name="Release planning" sheetId="2" r:id="rId6"/>
    <sheet state="visible" name="Story mapping" sheetId="3" r:id="rId7"/>
    <sheet state="visible" name="Product Backlog" sheetId="4" r:id="rId8"/>
    <sheet state="visible" name="Sprint planning" sheetId="5" r:id="rId9"/>
    <sheet state="visible" name="Sprint Goal" sheetId="6" r:id="rId10"/>
    <sheet state="visible" name="Sprint backlog 1" sheetId="7" r:id="rId11"/>
    <sheet state="visible" name="Sprint backlog 2" sheetId="8" r:id="rId12"/>
    <sheet state="visible" name="Sprint backlog 3" sheetId="9" r:id="rId13"/>
    <sheet state="visible" name="US_Task" sheetId="10" r:id="rId14"/>
    <sheet state="visible" name="Sprint Review" sheetId="11" r:id="rId15"/>
    <sheet state="visible" name="Sprint retrospective" sheetId="12" r:id="rId16"/>
    <sheet state="visible" name="Rủi ro" sheetId="13" r:id="rId17"/>
    <sheet state="visible" name="Kế hoạch nhóm" sheetId="14" r:id="rId18"/>
  </sheets>
  <definedNames>
    <definedName hidden="1" localSheetId="3" name="_xlnm._FilterDatabase">'Product Backlog'!$A$1:$N$25</definedName>
  </definedNames>
  <calcPr/>
</workbook>
</file>

<file path=xl/sharedStrings.xml><?xml version="1.0" encoding="utf-8"?>
<sst xmlns="http://schemas.openxmlformats.org/spreadsheetml/2006/main" count="1451" uniqueCount="853">
  <si>
    <t xml:space="preserve">CẤU TRÚC NHÓM </t>
  </si>
  <si>
    <t>Web đặt lịch học gia sư online – RELEASE PLAN</t>
  </si>
  <si>
    <t>Mỗi bản phát hành gồm các Sprint và User Story tương ứng</t>
  </si>
  <si>
    <t>Nhóm 8 – Web đặt lịch học gia sư online</t>
  </si>
  <si>
    <t>STORY MAPPING</t>
  </si>
  <si>
    <t>NO</t>
  </si>
  <si>
    <t>Release no</t>
  </si>
  <si>
    <t>Name</t>
  </si>
  <si>
    <t>Account git</t>
  </si>
  <si>
    <t>Role</t>
  </si>
  <si>
    <t>Link bảng Miro:</t>
  </si>
  <si>
    <t>Mã trong bảng</t>
  </si>
  <si>
    <t>Feature name</t>
  </si>
  <si>
    <t>Trọng tâm công việc</t>
  </si>
  <si>
    <t>Sprint</t>
  </si>
  <si>
    <t>Priority</t>
  </si>
  <si>
    <t>Start date</t>
  </si>
  <si>
    <t>End date</t>
  </si>
  <si>
    <t>Status</t>
  </si>
  <si>
    <t>Goal</t>
  </si>
  <si>
    <t>Nguyễn Ngọc Thiện</t>
  </si>
  <si>
    <t>V1.0</t>
  </si>
  <si>
    <t>thien0901</t>
  </si>
  <si>
    <t>Product Owner</t>
  </si>
  <si>
    <t>Tài khoản, hồ sơ gia sư, bảo mật nền tảng, duyệt hồ sơ, trang chi tiết gia sư</t>
  </si>
  <si>
    <t>SV1</t>
  </si>
  <si>
    <t>Sprint #1</t>
  </si>
  <si>
    <t>PO + QA/Test</t>
  </si>
  <si>
    <t>Cao</t>
  </si>
  <si>
    <t>Nguyễn Hoàng Hải</t>
  </si>
  <si>
    <t>hhai0410</t>
  </si>
  <si>
    <t>[dán link Miro của nhóm]</t>
  </si>
  <si>
    <t>WEB ĐẶT LỊCH HỌC GIA SƯ ONLINE – PRODUCT BACKLOG</t>
  </si>
  <si>
    <t>Tên dự án: Web đặt lịch học gia sư online · User Story theo mẫu "As a … I want … so that …" · Acceptance Criteria theo Given/When/Then</t>
  </si>
  <si>
    <t>Phát hành</t>
  </si>
  <si>
    <t>Tài khoản &amp; hồ sơ</t>
  </si>
  <si>
    <t>Tìm gia sư</t>
  </si>
  <si>
    <t>Đặt lịch</t>
  </si>
  <si>
    <t>Epic</t>
  </si>
  <si>
    <t>Thanh toán</t>
  </si>
  <si>
    <t>Học online</t>
  </si>
  <si>
    <t>Sau buổi học</t>
  </si>
  <si>
    <t>PBI type</t>
  </si>
  <si>
    <t>Quản trị &amp; nền tảng</t>
  </si>
  <si>
    <t>UID</t>
  </si>
  <si>
    <t>Product Backlog Item</t>
  </si>
  <si>
    <t>V1.0
(Sprint 1–2)</t>
  </si>
  <si>
    <t>User type [as a]</t>
  </si>
  <si>
    <t>Scrum Master</t>
  </si>
  <si>
    <t>I WANT/NEED [do some task]</t>
  </si>
  <si>
    <t>SV2</t>
  </si>
  <si>
    <t>SM + DevOps/Tài liệu</t>
  </si>
  <si>
    <t>SO THAT I CAN [get some results]</t>
  </si>
  <si>
    <t>Nguyễn Hữu Phượng</t>
  </si>
  <si>
    <t>Acceptance criteria</t>
  </si>
  <si>
    <t>huuphuong1911</t>
  </si>
  <si>
    <t>US01 · Đăng ký tài khoản
(Sprint 1, 5 SP)
US02 · Đăng nhập &amp; đặt lại mật khẩu
(Sprint 1, 5 SP)
US03 · Tạo/cập nhật hồ sơ gia sư
(Sprint 1, 8 SP)
US04 · Duyệt hồ sơ gia sư
(Sprint 1, 5 SP)</t>
  </si>
  <si>
    <t>Developer</t>
  </si>
  <si>
    <t>SV3</t>
  </si>
  <si>
    <t>Testing (kịch bản kiểm thử)</t>
  </si>
  <si>
    <t>Backend (Controller/Service)</t>
  </si>
  <si>
    <t>Nguyễn Tiến Thành</t>
  </si>
  <si>
    <t>Estimate (Story point)</t>
  </si>
  <si>
    <t>US05 · Tìm kiếm &amp; lọc gia sư
(Sprint 2, 8 SP)
US06 · Xem chi tiết gia sư
(Sprint 1, 3 SP)</t>
  </si>
  <si>
    <t>[git-account-5]</t>
  </si>
  <si>
    <t>Estimated effort (giờ)</t>
  </si>
  <si>
    <t>US07 · Thiết lập lịch rảnh
(Sprint 2, 8 SP)
US08 · Đặt lịch buổi học
(Sprint 2, 8 SP)
US09 · Xác nhận/từ chối yêu cầu đặt lịch
(Sprint 2, 5 SP)</t>
  </si>
  <si>
    <t>SV4</t>
  </si>
  <si>
    <t>To do</t>
  </si>
  <si>
    <t>Frontend (View/UI)</t>
  </si>
  <si>
    <t>Nguyễn Đặng Nhân</t>
  </si>
  <si>
    <t>NhanNguyen-dotcom</t>
  </si>
  <si>
    <t>SV5</t>
  </si>
  <si>
    <t>CSDL + Backend/Job</t>
  </si>
  <si>
    <t>US19 · Bảo mật nền tảng (HTTPS, phân quyền)
(Sprint 1, 5 SP)</t>
  </si>
  <si>
    <t>Ghi chú: điền họ tên và tài khoản Git vào các ô vàng; mã SV1–SV5 dùng ở cột Owner của mọi sheet.</t>
  </si>
  <si>
    <t>V2.0
(Sprint 3)</t>
  </si>
  <si>
    <t>US12 · Thanh toán online
(Sprint 3, 13 SP)</t>
  </si>
  <si>
    <t>E1. Tài khoản &amp; Phân quyền</t>
  </si>
  <si>
    <t>US14 · Phòng học video
(Sprint 3, 8 SP)</t>
  </si>
  <si>
    <t>Tìm kiếm/lọc, lịch rảnh, đặt lịch, gia sư xác nhận/từ chối</t>
  </si>
  <si>
    <t>Sprint #2</t>
  </si>
  <si>
    <t>US20 · Kiểm thử, UAT &amp; triển khai
(Sprint 3, 8 SP)</t>
  </si>
  <si>
    <t>Mở rộng
(chưa cam kết)</t>
  </si>
  <si>
    <t>story</t>
  </si>
  <si>
    <t>US10 · Hủy/đổi lịch
(Mở rộng, 5 SP)
US11 · Xem lịch cá nhân
(Mở rộng, 5 SP)</t>
  </si>
  <si>
    <t>US01</t>
  </si>
  <si>
    <t>US13 · Lịch sử giao dịch 
(Mở rộng, 5 SP)</t>
  </si>
  <si>
    <t>Đăng ký tài khoản</t>
  </si>
  <si>
    <t>học viên / gia sư</t>
  </si>
  <si>
    <t>đăng ký tài khoản bằng email và mật khẩu</t>
  </si>
  <si>
    <t>US15 · Đánh giá gia sư
(Mở rộng, 3 SP)
US16 · Thông báo &amp; nhắc lịch
(Mở rộng, 5 SP)</t>
  </si>
  <si>
    <t>tôi có thể sử dụng hệ thống theo đúng vai trò của mình</t>
  </si>
  <si>
    <t>US17 · Quản lý người dùng &amp; môn học
(Mở rộng, 5 SP)
US18 · Báo cáo &amp; thống kê
(Mở rộng, 5 SP)</t>
  </si>
  <si>
    <t>Given tôi ở trang đăng ký, When tôi nhập email chưa tồn tại + mật khẩu ≥ 8 ký tự và chọn vai trò, Then tài khoản được tạo và email xác nhận được gửi.
Given email đã tồn tại, When tôi đăng ký, Then hiển thị lỗi "Email đã được sử dụng".
Mật khẩu được băm (không lưu dạng rõ).</t>
  </si>
  <si>
    <t>Cột Quản trị &amp; nền tảng gồm hai story kỹ thuật (US19, US20) – gắn PBI type "technical" ở Product Backlog.</t>
  </si>
  <si>
    <t>TC01: đăng ký hợp lệ; TC02: trùng email; TC03: mật khẩu yếu; TC04: email sai định dạng; TC05: kiểm tra mật khẩu đã băm trong DB.</t>
  </si>
  <si>
    <t>V2.0</t>
  </si>
  <si>
    <t>Thanh toán online (sandbox), phòng học video, kiểm thử tổng/UAT và triển khai</t>
  </si>
  <si>
    <t>Sprint #3</t>
  </si>
  <si>
    <t>Mở rộng</t>
  </si>
  <si>
    <t>Hủy/đổi lịch (US10), nhắc lịch (US16), đánh giá gia sư (US15), lịch cá nhân (US11), lịch sử giao dịch &amp; hoàn tiền tự động (US13), quản lý người dùng/môn học (US17), báo cáo thống kê (US18)</t>
  </si>
  <si>
    <t>—</t>
  </si>
  <si>
    <t>Thấp</t>
  </si>
  <si>
    <t>Backlog</t>
  </si>
  <si>
    <t>Chưa cam kết: chỉ làm khi còn năng lực sau Sprint 3 hoặc thay thế story bị cắt.</t>
  </si>
  <si>
    <t>US02</t>
  </si>
  <si>
    <t>Đăng nhập &amp; đặt lại mật khẩu</t>
  </si>
  <si>
    <t>người dùng</t>
  </si>
  <si>
    <t>đăng nhập, đăng xuất và đặt lại mật khẩu khi quên</t>
  </si>
  <si>
    <t>tôi truy cập được tài khoản an toàn và lấy lại quyền truy cập khi quên mật khẩu</t>
  </si>
  <si>
    <t>Given thông tin đúng, When đăng nhập, Then vào trang chủ theo vai trò.
Sai mật khẩu 5 lần liên tiếp thì khóa 15 phút.
Liên kết đặt lại mật khẩu hết hạn sau 30 phút và dùng được một lần.</t>
  </si>
  <si>
    <t>TC01: đăng nhập đúng/sai; TC02: khóa sau 5 lần sai; TC03: đăng xuất hủy phiên; TC04: token đặt lại hết hạn; TC05: dùng lại token.</t>
  </si>
  <si>
    <t>US03</t>
  </si>
  <si>
    <t>Tạo/cập nhật hồ sơ gia sư</t>
  </si>
  <si>
    <t>gia sư</t>
  </si>
  <si>
    <t>cập nhật hồ sơ (ảnh, giới thiệu, môn dạy, học phí/giờ, kinh nghiệm, chứng chỉ)</t>
  </si>
  <si>
    <t>học viên hiểu rõ năng lực của tôi và chọn tôi</t>
  </si>
  <si>
    <t>Given tôi là gia sư đã đăng nhập, When tôi điền đủ trường bắt buộc và lưu, Then hồ sơ có trạng thái "Chờ duyệt".
Ảnh/chứng chỉ chỉ nhận JPG/PNG/PDF ≤ 5 MB.
Học phí là số dương.</t>
  </si>
  <si>
    <t>TC01: lưu hồ sơ hợp lệ; TC02: thiếu trường bắt buộc; TC03: upload sai định dạng/quá dung lượng; TC04: học phí âm; TC05: sửa hồ sơ đã duyệt → quay về chờ duyệt.</t>
  </si>
  <si>
    <t>E8. Phi chức năng &amp; Triển khai</t>
  </si>
  <si>
    <t>technical</t>
  </si>
  <si>
    <t>US19</t>
  </si>
  <si>
    <t>Bảo mật nền tảng (HTTPS, phân quyền)</t>
  </si>
  <si>
    <t>dữ liệu của tôi được bảo vệ bằng HTTPS, phân quyền và chống các tấn công phổ biến</t>
  </si>
  <si>
    <t>thông tin cá nhân và giao dịch không bị lộ hoặc bị giả mạo</t>
  </si>
  <si>
    <t>Toàn bộ trang chạy HTTPS (có HSTS).
Truy cập trái vai trò trả về 403.
Form có anti-forgery token; dữ liệu xuất ra được mã hóa HTML; truy vấn dùng tham số (EF Core).</t>
  </si>
  <si>
    <t>TC01: truy cập HTTP bị chuyển HTTPS; TC02: Student vào trang Admin → 403; TC03: gửi form thiếu CSRF token → 400; TC04: chèn &lt;script&gt; không thực thi; TC05: thử SQL injection ở ô tìm kiếm.</t>
  </si>
  <si>
    <t>SPRINT PLANNING</t>
  </si>
  <si>
    <t>Mục tiêu: xác định rõ công việc trong Sprint, ước lượng công việc và xác định Sprint Goal (PO đề xuất, Dev Team cam kết theo năng lực ròng)</t>
  </si>
  <si>
    <t>US04</t>
  </si>
  <si>
    <t>Duyệt hồ sơ gia sư</t>
  </si>
  <si>
    <t>Quy đổi: số giờ / 1 Story Point</t>
  </si>
  <si>
    <t>quản trị viên</t>
  </si>
  <si>
    <t>xem danh sách hồ sơ gia sư chờ duyệt và duyệt hoặc từ chối kèm lý do</t>
  </si>
  <si>
    <t>chỉ gia sư đạt chuẩn mới hiển thị với học viên</t>
  </si>
  <si>
    <t>Given có hồ sơ "Chờ duyệt", When admin duyệt, Then trạng thái thành "Đã duyệt" và gia sư nhận email.
Từ chối bắt buộc nhập lý do.
Chỉ hồ sơ "Đã duyệt" xuất hiện ở trang tìm kiếm.</t>
  </si>
  <si>
    <t>TC01: duyệt hồ sơ; TC02: từ chối không nhập lý do; TC03: email kết quả; TC04: hồ sơ chưa duyệt không hiện ở tìm kiếm.</t>
  </si>
  <si>
    <t>Số thành viên</t>
  </si>
  <si>
    <t>Giờ làm việc / người / tuần</t>
  </si>
  <si>
    <t>Số tuần / Sprint</t>
  </si>
  <si>
    <t>Giờ họp Scrum / người / Sprint</t>
  </si>
  <si>
    <t>E2. Tìm kiếm gia sư</t>
  </si>
  <si>
    <t>Ngày nghỉ lễ trong thời gian dự án</t>
  </si>
  <si>
    <t>US06</t>
  </si>
  <si>
    <t>Năng lực ròng mỗi Sprint (giờ)</t>
  </si>
  <si>
    <t>Xem chi tiết gia sư</t>
  </si>
  <si>
    <t>học viên</t>
  </si>
  <si>
    <t>xem trang chi tiết hồ sơ gia sư (giới thiệu, học phí, đánh giá, lịch rảnh tóm tắt)</t>
  </si>
  <si>
    <t>tôi đánh giá được gia sư trước khi đặt lịch</t>
  </si>
  <si>
    <t>Trang hiển thị đủ thông tin hồ sơ đã duyệt.
Có nút "Đặt lịch" dẫn tới chọn khung giờ.
Hồ sơ không tồn tại hoặc chưa duyệt → trang 404.</t>
  </si>
  <si>
    <t>TC01: hiển thị đúng dữ liệu; TC02: nút Đặt lịch; TC03: truy cập ID không hợp lệ.</t>
  </si>
  <si>
    <t>Công thức: thành viên × (giờ/tuần × số tuần − giờ họp Scrum)</t>
  </si>
  <si>
    <t>Bảng tổng hợp Sprint (Sprint Goal viết theo mẫu Scrum.org ở sheet 'Sprint Goal')</t>
  </si>
  <si>
    <t>e</t>
  </si>
  <si>
    <t>Bắt đầu</t>
  </si>
  <si>
    <t>Trung bình</t>
  </si>
  <si>
    <t>Kết thúc</t>
  </si>
  <si>
    <t>Số ngày làm việc</t>
  </si>
  <si>
    <t>Sprint Goal</t>
  </si>
  <si>
    <t>Release</t>
  </si>
  <si>
    <t>User Story được chọn</t>
  </si>
  <si>
    <t>Tổng SP</t>
  </si>
  <si>
    <t>Ước lượng (giờ)</t>
  </si>
  <si>
    <t>US05</t>
  </si>
  <si>
    <t>Our focus is on…</t>
  </si>
  <si>
    <t>% năng lực ròng</t>
  </si>
  <si>
    <t>Giờ task (US_Task)</t>
  </si>
  <si>
    <t>Tìm kiếm &amp; lọc gia sư</t>
  </si>
  <si>
    <t>Sprint 1</t>
  </si>
  <si>
    <t>tìm kiếm gia sư theo môn học, mức học phí, điểm đánh giá, ngôn ngữ giảng dạy</t>
  </si>
  <si>
    <t xml:space="preserve">We believe it delivers… </t>
  </si>
  <si>
    <t>…to</t>
  </si>
  <si>
    <t>tôi nhanh chóng chọn được gia sư phù hợp nhu cầu và ngân sách</t>
  </si>
  <si>
    <t xml:space="preserve">This will be confirmed when… </t>
  </si>
  <si>
    <t xml:space="preserve">Sprint Goal hoàn chỉnh </t>
  </si>
  <si>
    <t xml:space="preserve">Story hỗ trợ Sprint Goal </t>
  </si>
  <si>
    <t>Given có ≥ 1 gia sư đã duyệt, When tôi lọc theo môn + khoảng giá, Then danh sách chỉ gồm gia sư thỏa cả hai điều kiện.
Kết quả phân trang 10 gia sư/trang, sắp xếp được theo giá/đánh giá.
Thời gian phản hồi ≤ 2 giây với 500 hồ sơ.</t>
  </si>
  <si>
    <t>Phần có thể giảm/hoãn nếu trễ</t>
  </si>
  <si>
    <t>TC01: lọc theo môn; TC02: lọc kết hợp; TC03: không có kết quả → thông báo; TC04: phân trang; TC05: hiệu năng 500 hồ sơ.</t>
  </si>
  <si>
    <t>gia sư đăng ký, đưa hồ sơ chuyên môn lên hệ thống và được admin kiểm duyệt để hồ sơ hiển thị công khai</t>
  </si>
  <si>
    <t>một kênh tự giới thiệu năng lực và sự tin cậy nhờ được kiểm duyệt</t>
  </si>
  <si>
    <t>gia sư và học viên</t>
  </si>
  <si>
    <t>một gia sư thử nghiệm đăng ký, đăng nhập, điền xong hồ sơ; admin duyệt; rồi người chưa đăng nhập mở được trang chi tiết hồ sơ đã duyệt (hồ sơ chưa duyệt trả về 404)</t>
  </si>
  <si>
    <t>E3. Lịch &amp; Đặt lịch</t>
  </si>
  <si>
    <r>
      <rPr>
        <rFont val="Arial"/>
        <color theme="1"/>
        <sz val="10.0"/>
      </rPr>
      <t xml:space="preserve">US01 – Đăng ký tài khoản (5 SP)
US02 – Đăng nhập &amp; đặt lại mật khẩu (5 SP)
US03 – Tạo/cập nhật hồ sơ gia sư (8 SP)
</t>
    </r>
    <r>
      <rPr>
        <rFont val="Arial"/>
        <color rgb="FFFF0000"/>
        <sz val="10.0"/>
      </rPr>
      <t xml:space="preserve">US19 – Bảo mật nền tảng (HTTPS, phân quyền) (5 SP)
</t>
    </r>
    <r>
      <rPr>
        <rFont val="Arial"/>
        <color theme="1"/>
        <sz val="10.0"/>
      </rPr>
      <t>US04 – Duyệt hồ sơ gia sư (5 SP)
US06 – Xem chi tiết gia sư (3 SP)</t>
    </r>
  </si>
  <si>
    <t>US07</t>
  </si>
  <si>
    <t>Thiết lập lịch rảnh</t>
  </si>
  <si>
    <r>
      <rPr>
        <rFont val="Arial"/>
        <color theme="1"/>
        <sz val="10.0"/>
      </rPr>
      <t xml:space="preserve">US01 – Đăng ký tài khoản
US02 – Đăng nhập &amp; đặt lại mật khẩu
US03 – Tạo/cập nhật hồ sơ gia sư
</t>
    </r>
    <r>
      <rPr>
        <rFont val="Arial"/>
        <color rgb="FFFF0000"/>
        <sz val="10.0"/>
      </rPr>
      <t>US19 – Bảo mật nền tảng (HTTPS, phân quyền)</t>
    </r>
    <r>
      <rPr>
        <rFont val="Arial"/>
        <color theme="1"/>
        <sz val="10.0"/>
      </rPr>
      <t xml:space="preserve">
US04 – Duyệt hồ sơ gia sư
US06 – Xem chi tiết gia sư</t>
    </r>
  </si>
  <si>
    <t>Đặt lại mật khẩu (T02.2) có thể lùi sang Sprint 2 nếu trễ.</t>
  </si>
  <si>
    <t xml:space="preserve">thiết lập các khung giờ rảnh theo tuần </t>
  </si>
  <si>
    <t>Sprint 2</t>
  </si>
  <si>
    <t>học viên chỉ đặt vào thời điểm tôi có thể dạy</t>
  </si>
  <si>
    <t>học viên tìm đúng gia sư theo môn và học phí rồi đặt được buổi học vào khung giờ rảnh của gia sư, và gia sư xác nhận được yêu cầu</t>
  </si>
  <si>
    <t>lịch học chắc chắn, không trùng giờ và đỡ mất thời gian tìm gia sư</t>
  </si>
  <si>
    <t>học viên và gia sư</t>
  </si>
  <si>
    <t>Given tôi là gia sư đã duyệt, When tôi thêm khung giờ, Then khung giờ hiển thị trên lịch tuần.
Không cho phép hai khung giờ chồng lấn.
Không xóa/sửa được khung giờ đã có người đặt.</t>
  </si>
  <si>
    <t>một học viên thử lọc theo môn và khoảng giá (≤ 2 giây với 500 hồ sơ mẫu) và đặt một khung giờ; hai học viên cùng đặt một khung giờ thì chỉ một người thành công; gia sư chấp nhận để booking thành "Đã xác nhận" (phát hành V1.0)</t>
  </si>
  <si>
    <t>TC01: thêm khung giờ; TC02: chồng lấn bị chặn; TC03: sửa/xóa khung đã đặt bị chặn; TC04: khung giờ trong quá khứ bị chặn.</t>
  </si>
  <si>
    <t>US05 – Tìm kiếm &amp; lọc gia sư
US07 – Thiết lập lịch rảnh
US08 – Đặt lịch buổi học
US09 – Xác nhận/từ chối yêu cầu đặt lịch</t>
  </si>
  <si>
    <t>Gợi ý từ khóa (T05.4) và tự hủy yêu cầu quá 24 giờ (T09.3) có thể bỏ nếu trễ.</t>
  </si>
  <si>
    <t>Sprint 3</t>
  </si>
  <si>
    <t>học viên thanh toán online và vào học video ngay trên web, và bản V2.0 sẵn sàng cho người dùng thật</t>
  </si>
  <si>
    <t>khả năng giữ chỗ buổi học không cần tiền mặt và học không phải cài thêm phần mềm</t>
  </si>
  <si>
    <t xml:space="preserve">≥ 5 người dùng thử hoàn thành trọn luồng đăng ký → tìm → đặt → thanh toán  → vào cùng phòng học đúng giờ trên bản chạy HTTPS </t>
  </si>
  <si>
    <t>US12 – Thanh toán online
US14 – Phòng học video
US20 – Kiểm thử, UAT &amp; triển khai</t>
  </si>
  <si>
    <t>Đồng hồ đếm giờ trong phòng học (một subtask của T14.4) và xử lý timeout nâng cao (T12.6, giữ phần cơ bản) có thể giảm nếu trễ.</t>
  </si>
  <si>
    <t>US08</t>
  </si>
  <si>
    <t>Đặt lịch buổi học</t>
  </si>
  <si>
    <t>xác nhận đặt buổi học theo khung giờ</t>
  </si>
  <si>
    <t>tôi có buổi học đúng thời điểm mình mong muốn</t>
  </si>
  <si>
    <t>Given khung giờ còn trống, When tôi xác nhận, Then tạo booking trạng thái "Chờ xác nhận" và gửi thông báo cho gia sư.
Hai học viên đặt cùng khung giờ cùng lúc: chỉ một người thành công.
Không đặt được khung giờ đã qua.</t>
  </si>
  <si>
    <t>TC01: đặt thành công; TC02: đặt đồng thời (2 người); TC03: khung giờ đã qua; TC04: chưa đăng nhập bị chuyển về đăng nhập.</t>
  </si>
  <si>
    <t>US05 – Tìm kiếm &amp; lọc gia sư (8 SP)
US07 – Thiết lập lịch rảnh (8 SP)
US08 – Đặt lịch buổi học (8 SP)
US09 – Xác nhận/từ chối yêu cầu đặt lịch (5 SP)</t>
  </si>
  <si>
    <t>US09</t>
  </si>
  <si>
    <t>Xác nhận/từ chối yêu cầu đặt lịch</t>
  </si>
  <si>
    <t>chấp nhận hoặc từ chối yêu cầu đặt lịch của học viên</t>
  </si>
  <si>
    <t>tôi chủ động sắp xếp lịch dạy của mình</t>
  </si>
  <si>
    <t>Chấp nhận → booking "Đã xác nhận"; từ chối → khung giờ được mở lại.
Yêu cầu không phản hồi sau 24 giờ tự động hủy.
Học viên nhận thông báo kết quả.</t>
  </si>
  <si>
    <t>TC01: chấp nhận; TC02: từ chối mở lại slot; TC03: tự hủy sau 24 giờ; TC04: thông báo cho học viên.</t>
  </si>
  <si>
    <t>US12 – Thanh toán online (13 SP)
US14 – Phòng học video (8 SP)
US20 – Kiểm thử, UAT &amp; triển khai (8 SP)</t>
  </si>
  <si>
    <t>E4. Thanh toán</t>
  </si>
  <si>
    <t>US12</t>
  </si>
  <si>
    <t>Thanh toán online</t>
  </si>
  <si>
    <t>thanh toán học phí online khi đặt lịch</t>
  </si>
  <si>
    <t>tôi giữ chỗ buổi học và không phải trả tiền mặt</t>
  </si>
  <si>
    <t>Tổng / kiểm tra</t>
  </si>
  <si>
    <t>Given booking đã được gia sư xác nhận, When tôi thanh toán thành công, Then booking chuyển "Đã thanh toán" và có biên lai.
Thất bại/hết hạn → booking giữ nguyên, cho phép thử lại.
Không lưu số thẻ; callback được xác thực chữ ký; mỗi giao dịch xử lý đúng một lần.</t>
  </si>
  <si>
    <t>TC01: thanh toán thành công; TC02: thất bại/hủy giữa chừng; TC03: callback giả mạo bị từ chối; TC04: callback trùng lặp; TC05: hết thời gian chờ.</t>
  </si>
  <si>
    <t>E5. Học trực tuyến</t>
  </si>
  <si>
    <t>Các bước họp Sprint Planning</t>
  </si>
  <si>
    <t>US14</t>
  </si>
  <si>
    <t>1. PO nêu mục tiêu: "Nếu chỉ giao được MỘT kết quả trong Sprint này, đó là gì?" rồi chốt Sprint Goal (xem sheet 'Sprint Goal').</t>
  </si>
  <si>
    <t>Phòng học video</t>
  </si>
  <si>
    <t>2. Dev Team ước lượng bằng Planning Poker, đối chiếu với năng lực ròng (B9) và chọn story cam kết (nên ≤ 90% năng lực).</t>
  </si>
  <si>
    <t>3. Chia story thành Task và Subtask, ước lượng giờ, phân công Owner (xem 'Sprint backlog n').</t>
  </si>
  <si>
    <t>vào phòng học video riêng của buổi học bằng một nút bấm</t>
  </si>
  <si>
    <t>4. Chốt ngày bắt đầu/kết thúc, phần có thể giảm/hoãn nếu trễ và giải pháp cho vấn đề chung của Sprint.</t>
  </si>
  <si>
    <t>chúng tôi học trực tuyến mà không cần cài thêm phần mềm</t>
  </si>
  <si>
    <t>Mỗi booking đã thanh toán có một phòng học duy nhất.
Chỉ học viên và gia sư của booking vào được, trong khoảng 10 phút trước đến hết giờ học.
Sau buổi học, booking chuyển "Hoàn thành".</t>
  </si>
  <si>
    <t>TC01: vào phòng đúng giờ; TC02: người ngoài truy cập bị chặn; TC03: vào sớm hơn 10 phút bị chặn; TC04: chạy trên Chrome/Edge/Firefox.</t>
  </si>
  <si>
    <t>US20</t>
  </si>
  <si>
    <t>Kiểm thử, UAT &amp; triển khai</t>
  </si>
  <si>
    <t>nhóm phát triển</t>
  </si>
  <si>
    <t>kiểm thử tích hợp/hồi quy, UAT, triển khai và hoàn thiện tài liệu hướng dẫn</t>
  </si>
  <si>
    <t>sản phẩm ổn định, đáp ứng Definition of Done và sẵn sàng bàn giao</t>
  </si>
  <si>
    <t>Không còn lỗi mức Critical/High; 100% user story đạt tiêu chí chấp nhận.
UAT với ≥ 5 người dùng thử và có biên bản phản hồi.
Triển khai chạy HTTPS; có hướng dẫn sử dụng.</t>
  </si>
  <si>
    <t>TC: bộ hồi quy các luồng chính (đăng ký → tìm → đặt → thanh toán → học → đánh giá); UAT checklist.</t>
  </si>
  <si>
    <t>US10</t>
  </si>
  <si>
    <t>Hủy/đổi lịch</t>
  </si>
  <si>
    <t>hủy hoặc đổi lịch buổi học trước giờ học theo quy định</t>
  </si>
  <si>
    <t>tôi linh hoạt khi có việc đột xuất mà vẫn công bằng với gia sư</t>
  </si>
  <si>
    <t>Hủy/đổi được khi còn ≥ 12 giờ trước giờ học.
Sau mốc 12 giờ hệ thống từ chối và hiển thị quy định.
Khung giờ cũ được mở lại sau khi hủy/đổi.
Booking đã thanh toán khi hủy đúng quy định chuyển trạng thái "Chờ hoàn tiền" để admin xử lý thủ công (tự động hóa ở US13 – backlog mở rộng).</t>
  </si>
  <si>
    <t>TC01: hủy trước 12 giờ; TC02: hủy sau mốc 12 giờ; TC03: đổi sang slot khác; TC04: slot cũ được mở lại; TC05: hủy booking đã thanh toán → Chờ hoàn tiền.</t>
  </si>
  <si>
    <t>Sprint backlog 1</t>
  </si>
  <si>
    <t>US11</t>
  </si>
  <si>
    <t>Xem lịch cá nhân</t>
  </si>
  <si>
    <t>Effort còn lại cuối mỗi ngày (giờ) – nhập hằng ngày</t>
  </si>
  <si>
    <t>xem lịch các buổi học của mình dạng lịch tuần/tháng</t>
  </si>
  <si>
    <t>tôi nắm được các buổi sắp tới</t>
  </si>
  <si>
    <t>User story (Product Backlog Item)</t>
  </si>
  <si>
    <t>Task ID</t>
  </si>
  <si>
    <t>Sprint task</t>
  </si>
  <si>
    <t>Lịch hiển thị đủ buổi theo trạng thái (chờ/xác nhận/hoàn thành/hủy) bằng màu khác nhau.
Chỉ xem được lịch của chính mình.
Bấm vào buổi học xem được chi tiết.</t>
  </si>
  <si>
    <t>TC01: hiển thị đúng buổi học; TC02: lọc theo trạng thái; TC03: không xem được lịch người khác.</t>
  </si>
  <si>
    <t>Subtask</t>
  </si>
  <si>
    <t>Owner</t>
  </si>
  <si>
    <t>Actual (giờ)</t>
  </si>
  <si>
    <t>Day 1</t>
  </si>
  <si>
    <t>Day 2</t>
  </si>
  <si>
    <t>Day 3</t>
  </si>
  <si>
    <t>Day 4</t>
  </si>
  <si>
    <t>Day 5</t>
  </si>
  <si>
    <t>Day 6</t>
  </si>
  <si>
    <t>Day 7</t>
  </si>
  <si>
    <t>Day 8</t>
  </si>
  <si>
    <t>Day 9</t>
  </si>
  <si>
    <t>Day 10</t>
  </si>
  <si>
    <t>Day 11</t>
  </si>
  <si>
    <t>Day 12</t>
  </si>
  <si>
    <t>Day 13</t>
  </si>
  <si>
    <t>US13</t>
  </si>
  <si>
    <t>Day 14</t>
  </si>
  <si>
    <t>Day 15</t>
  </si>
  <si>
    <t>Lịch sử giao dịch &amp; hoàn tiền</t>
  </si>
  <si>
    <t>xem lịch sử giao dịch và được hoàn tiền khi hủy đúng quy định</t>
  </si>
  <si>
    <t>tôi kiểm soát chi tiêu và yên tâm khi phải hủy</t>
  </si>
  <si>
    <t>Hủy trước 12 giờ → hoàn 100%; sau mốc → không hoàn.
Lịch sử hiển thị mã giao dịch, số tiền, trạng thái, thời gian.
Hoàn tiền ghi nhận một lần cho mỗi booking.</t>
  </si>
  <si>
    <t>TC01: hoàn 100%; TC02: không hoàn sau mốc; TC03: hoàn tiền trùng lặp bị chặn; TC04: hiển thị lịch sử.</t>
  </si>
  <si>
    <t>Ngày</t>
  </si>
  <si>
    <t>E6. Đánh giá &amp; Thông báo</t>
  </si>
  <si>
    <t>US15</t>
  </si>
  <si>
    <t>Đánh giá gia sư</t>
  </si>
  <si>
    <t>đánh giá (1–5 sao) và nhận xét gia sư sau buổi học</t>
  </si>
  <si>
    <t>những học viên khác có thêm thông tin tham khảo</t>
  </si>
  <si>
    <t>Chỉ đánh giá được buổi học "Hoàn thành" và mỗi buổi một lần.
Điểm trung bình của gia sư được cập nhật ngay.
Nhận xét tối đa 500 ký tự.</t>
  </si>
  <si>
    <t>TC01: đánh giá hợp lệ; TC02: đánh giá buổi chưa hoàn thành; TC03: đánh giá lần hai; TC04: cập nhật điểm TB.</t>
  </si>
  <si>
    <t>US16</t>
  </si>
  <si>
    <t>Thông báo &amp; nhắc lịch</t>
  </si>
  <si>
    <t>nhận email và thông báo trong web về trạng thái đặt lịch và nhắc lịch trước 24 giờ/1 giờ</t>
  </si>
  <si>
    <t>tôi không bỏ lỡ buổi học</t>
  </si>
  <si>
    <t>Có email cho: đặt lịch, xác nhận/từ chối, hủy, thanh toán.
Nhắc lịch gửi đúng mốc 24 giờ và 1 giờ.
Chuông thông báo hiển thị số chưa đọc và đánh dấu đã đọc được.</t>
  </si>
  <si>
    <t>TC01: email từng sự kiện; TC02: nhắc 24 giờ/1 giờ; TC03: đánh dấu đã đọc; TC04: không gửi nhắc cho buổi đã hủy.</t>
  </si>
  <si>
    <t>E7. Quản trị hệ thống</t>
  </si>
  <si>
    <t>US17</t>
  </si>
  <si>
    <t>Quản lý người dùng &amp; môn học</t>
  </si>
  <si>
    <t>quản lý người dùng (khóa/mở khóa) và danh mục môn học</t>
  </si>
  <si>
    <t>hệ thống luôn sạch dữ liệu và an toàn</t>
  </si>
  <si>
    <t>Khóa tài khoản thì người đó không đăng nhập được.
Thêm/sửa/xóa môn học; không xóa môn đang được gia sư sử dụng.
Mọi thao tác quản trị có ghi log.</t>
  </si>
  <si>
    <t>TC01: khóa/mở khóa; TC02: xóa môn đang dùng bị chặn; TC03: ghi log thao tác.</t>
  </si>
  <si>
    <t>US18</t>
  </si>
  <si>
    <t>Báo cáo &amp; thống kê</t>
  </si>
  <si>
    <t>xem báo cáo doanh thu và số buổi học theo ngày/tháng và xuất ra Excel</t>
  </si>
  <si>
    <t>tôi theo dõi hiệu quả hoạt động của nền tảng</t>
  </si>
  <si>
    <t>Dashboard có biểu đồ doanh thu và số buổi theo thời gian chọn.
Số liệu khớp với dữ liệu giao dịch.
Xuất được file .xlsx/.csv.</t>
  </si>
  <si>
    <t>TC01: số liệu khớp giao dịch; TC02: lọc theo khoảng ngày; TC03: xuất file mở được.</t>
  </si>
  <si>
    <t>US01
(5 SP)</t>
  </si>
  <si>
    <t>Tổng</t>
  </si>
  <si>
    <t>Là học viên / gia sư, tôi muốn đăng ký tài khoản bằng email và mật khẩu để tôi có thể sử dụng hệ thống theo đúng vai trò của mình.</t>
  </si>
  <si>
    <t>T01.1</t>
  </si>
  <si>
    <t>Thiết kế CSDL người dùng</t>
  </si>
  <si>
    <t>• Vẽ ERD Users–Roles
• Tạo entity + migration EF Core
• Seed 3 vai trò Student/Tutor/Admin</t>
  </si>
  <si>
    <t>Đã cam kết (Sprint 1–3)</t>
  </si>
  <si>
    <t>Sprint backlog 2</t>
  </si>
  <si>
    <t>T01.2</t>
  </si>
  <si>
    <t>Xử lý đăng ký (Controller/Service)</t>
  </si>
  <si>
    <t>• Validate dữ liệu (email, mật khẩu)
• Băm mật khẩu bằng ASP.NET Core Identity
• Cấu hình dịch vụ email SMTP dùng chung + gửi email xác nhận</t>
  </si>
  <si>
    <t>T01.3</t>
  </si>
  <si>
    <t>Giao diện đăng ký</t>
  </si>
  <si>
    <t>• Dựng form Razor + Bootstrap
• Hiển thị lỗi validate
• Responsive mobile</t>
  </si>
  <si>
    <t>Story Point là đề xuất ban đầu (dãy Fibonacci); nhóm 5 người ước lượng lại bằng Planning Poker rồi sửa cột J. 1 SP = 4 giờ công là giả định (chỉnh ở 'Sprint planning'!B3). Sprint "Mở rộng" = chưa cam kết.</t>
  </si>
  <si>
    <t>T01.4</t>
  </si>
  <si>
    <t>Kiểm thử đăng ký</t>
  </si>
  <si>
    <t>• Viết test case
• Test trùng email / mật khẩu yếu</t>
  </si>
  <si>
    <t>T01.5</t>
  </si>
  <si>
    <t>Review code &amp; merge</t>
  </si>
  <si>
    <t>• Review pull request
• Merge và kiểm tra build</t>
  </si>
  <si>
    <t>US05
(8 SP)</t>
  </si>
  <si>
    <t>US02
(5 SP)</t>
  </si>
  <si>
    <t>Là học viên, tôi muốn tìm kiếm và lọc gia sư theo môn học, mức học phí, điểm đánh giá, ngôn ngữ giảng dạy để tôi nhanh chóng chọn được gia sư phù hợp nhu cầu và ngân sách.</t>
  </si>
  <si>
    <t>Là người dùng, tôi muốn đăng nhập, đăng xuất và đặt lại mật khẩu khi quên để tôi truy cập được tài khoản an toàn và lấy lại quyền truy cập khi quên mật khẩu.</t>
  </si>
  <si>
    <t>T02.1</t>
  </si>
  <si>
    <t>Đăng nhập / đăng xuất</t>
  </si>
  <si>
    <t>T05.1</t>
  </si>
  <si>
    <t>• Action đăng nhập
• Khóa 15 phút sau 5 lần sai
• Action đăng xuất</t>
  </si>
  <si>
    <t>Truy vấn tìm kiếm và lọc</t>
  </si>
  <si>
    <t>• Xây dựng truy vấn LINQ động
• Kết hợp nhiều bộ lọc
• Sắp xếp theo giá/đánh giá</t>
  </si>
  <si>
    <t>T02.2</t>
  </si>
  <si>
    <t>Quên / đặt lại mật khẩu</t>
  </si>
  <si>
    <t>• Sinh token có hạn 30 phút
• Gửi email đặt lại
• Trang đặt lại mật khẩu</t>
  </si>
  <si>
    <t>T05.2</t>
  </si>
  <si>
    <t>Tối ưu CSDL và phân trang</t>
  </si>
  <si>
    <t>• Tạo index cột tìm kiếm
• Phân trang 10 bản ghi
• Seed 500 hồ sơ thử</t>
  </si>
  <si>
    <t>T02.3</t>
  </si>
  <si>
    <t>Giao diện đăng nhập &amp; quên mật khẩu</t>
  </si>
  <si>
    <t>• Trang đăng nhập
• Trang quên/đặt lại mật khẩu
• Thông báo lỗi/thành công</t>
  </si>
  <si>
    <t>T02.4</t>
  </si>
  <si>
    <t>Kiểm thử đăng nhập</t>
  </si>
  <si>
    <t>Sprint backlog 3</t>
  </si>
  <si>
    <t>T05.3</t>
  </si>
  <si>
    <t>• Test đăng nhập đúng/sai
• Test token hết hạn/dùng lại</t>
  </si>
  <si>
    <t>Giao diện trang tìm kiếm</t>
  </si>
  <si>
    <t>• Thiết kế thẻ gia sư
• Sidebar bộ lọc
• Trạng thái rỗng/đang tải</t>
  </si>
  <si>
    <t>T02.5</t>
  </si>
  <si>
    <t>• Review pull request
• Merge vào develop</t>
  </si>
  <si>
    <t>T05.4</t>
  </si>
  <si>
    <t>Gợi ý từ khóa tìm kiếm</t>
  </si>
  <si>
    <t>• API gợi ý
• Gắn autocomplete vào ô tìm kiếm</t>
  </si>
  <si>
    <t>US03
(8 SP)</t>
  </si>
  <si>
    <t>Là gia sư, tôi muốn tạo và cập nhật hồ sơ (ảnh, giới thiệu, môn dạy, học phí/giờ, kinh nghiệm, chứng chỉ) để học viên hiểu rõ năng lực của tôi và chọn tôi.</t>
  </si>
  <si>
    <t>T05.5</t>
  </si>
  <si>
    <t>T03.1</t>
  </si>
  <si>
    <t>Kiểm thử chức năng và hiệu năng</t>
  </si>
  <si>
    <t>Thiết kế CSDL hồ sơ gia sư</t>
  </si>
  <si>
    <t>• Test lọc kết hợp
• Đo thời gian với 500 hồ sơ</t>
  </si>
  <si>
    <t>• Vẽ ERD hồ sơ
• Entity + migration
• Seed danh sách môn học</t>
  </si>
  <si>
    <t>T03.2</t>
  </si>
  <si>
    <t>CRUD hồ sơ gia sư</t>
  </si>
  <si>
    <t>• Action Create/Edit
• Validate học phí, trường bắt buộc
• Chuyển trạng thái Chờ duyệt khi lưu</t>
  </si>
  <si>
    <t>T05.6</t>
  </si>
  <si>
    <t>T03.3</t>
  </si>
  <si>
    <t>Upload ảnh và chứng chỉ</t>
  </si>
  <si>
    <t>• Giới hạn định dạng JPG/PNG/PDF
• Giới hạn 5 MB, đổi tên file ngẫu nhiên
• Lưu ngoài thư mục wwwroot công khai (chứng chỉ)</t>
  </si>
  <si>
    <t>US07
(8 SP)</t>
  </si>
  <si>
    <t>Là gia sư, tôi muốn thiết lập các khung giờ rảnh theo tuần (thêm, sửa, xóa) để học viên chỉ đặt vào thời điểm tôi có thể dạy.</t>
  </si>
  <si>
    <t>T03.4</t>
  </si>
  <si>
    <t>Giao diện form hồ sơ nhiều bước</t>
  </si>
  <si>
    <t>• Dựng stepper
• Kiểm tra dữ liệu phía client
• Xem trước ảnh đại diện</t>
  </si>
  <si>
    <t>T07.1</t>
  </si>
  <si>
    <t>Thiết kế CSDL lịch rảnh</t>
  </si>
  <si>
    <t>• ERD Availability
• Entity + migration</t>
  </si>
  <si>
    <t>T03.5</t>
  </si>
  <si>
    <t>Trang xem hồ sơ cá nhân</t>
  </si>
  <si>
    <t>• Dựng trang xem
• Hiển thị trạng thái duyệt</t>
  </si>
  <si>
    <t>T07.2</t>
  </si>
  <si>
    <t>CRUD khung giờ rảnh + chống chồng lấn</t>
  </si>
  <si>
    <t>• Action thêm/sửa/xóa
• Kiểm tra chồng lấn
• Chặn sửa/xóa khung đã đặt</t>
  </si>
  <si>
    <t>T07.3</t>
  </si>
  <si>
    <t>Giao diện lịch tuần của gia sư</t>
  </si>
  <si>
    <t>• Tích hợp thư viện lịch
• Form thêm/sửa khung giờ
• Hiển thị khung đã đặt khác màu</t>
  </si>
  <si>
    <t>T03.6</t>
  </si>
  <si>
    <t>Kiểm thử hồ sơ gia sư</t>
  </si>
  <si>
    <t>• Test upload sai định dạng/dung lượng
• Test sửa hồ sơ đã duyệt</t>
  </si>
  <si>
    <t>T07.4</t>
  </si>
  <si>
    <t>Xử lý múi giờ và định dạng</t>
  </si>
  <si>
    <t>• Chuẩn hóa lưu UTC
• Chuyển đổi khi hiển thị</t>
  </si>
  <si>
    <t>US19
(5 SP)</t>
  </si>
  <si>
    <t>T07.5</t>
  </si>
  <si>
    <t>Kiểm thử lịch rảnh</t>
  </si>
  <si>
    <t>• Test chồng lấn
• Test khung giờ quá khứ</t>
  </si>
  <si>
    <t>Là người dùng, tôi muốn dữ liệu của tôi được bảo vệ bằng HTTPS, phân quyền và chống các tấn công phổ biến để thông tin cá nhân và giao dịch không bị lộ hoặc bị giả mạo.</t>
  </si>
  <si>
    <t>T19.1</t>
  </si>
  <si>
    <t>Thiết lập repo Git, quy ước nhánh, bảng công việc</t>
  </si>
  <si>
    <t>• Tạo repo, nhánh main/develop/feature
• Quy ước commit + PR
• Tạo board Scrum (Trello/Jira)</t>
  </si>
  <si>
    <t>T07.6</t>
  </si>
  <si>
    <t>Review code và chuẩn bị demo Sprint 2</t>
  </si>
  <si>
    <t>• Review pull request
• Chuẩn bị dữ liệu demo</t>
  </si>
  <si>
    <t>T19.2</t>
  </si>
  <si>
    <t>Cấu hình HTTPS/HSTS</t>
  </si>
  <si>
    <t>• Chứng chỉ phát triển Kestrel
• Bắt buộc chuyển hướng HTTPS
• Bật HSTS</t>
  </si>
  <si>
    <t>US08
(8 SP)</t>
  </si>
  <si>
    <t>Là học viên, tôi muốn chọn một khung giờ trống của gia sư và xác nhận đặt buổi học để tôi có buổi học đúng thời điểm mình mong muốn.</t>
  </si>
  <si>
    <t>T08.1</t>
  </si>
  <si>
    <t>Thiết kế CSDL đặt lịch</t>
  </si>
  <si>
    <t>• ERD Booking
• Entity + migration
• Enum trạng thái</t>
  </si>
  <si>
    <t>T19.3</t>
  </si>
  <si>
    <t>Chống CSRF/XSS/SQL Injection</t>
  </si>
  <si>
    <t>• Anti-forgery token toàn bộ form POST
• Mã hóa đầu ra HTML
• Truy vấn tham số hóa (EF Core)</t>
  </si>
  <si>
    <t>T08.2</t>
  </si>
  <si>
    <t>Logic đặt lịch và chống đặt trùng</t>
  </si>
  <si>
    <t>• Kiểm tra slot còn trống
• Dùng RowVersion/transaction
• Trả lỗi thân thiện khi slot vừa bị đặt</t>
  </si>
  <si>
    <t>T08.3</t>
  </si>
  <si>
    <t>Giao diện chọn khung giờ và xác nhận</t>
  </si>
  <si>
    <t>• Chọn khung giờ
• Màn hình xác nhận
• Thông báo kết quả</t>
  </si>
  <si>
    <t>US12
(13 SP)</t>
  </si>
  <si>
    <t>Là học viên, tôi muốn thanh toán học phí online (thẻ ATM/ví điện tử qua cổng sandbox) khi đặt lịch để tôi giữ chỗ buổi học và không phải trả tiền mặt.</t>
  </si>
  <si>
    <t>T19.4</t>
  </si>
  <si>
    <t>Phân quyền theo vai trò</t>
  </si>
  <si>
    <t>• Gắn [Authorize(Roles)]
• Trang 403/404 tùy chỉnh</t>
  </si>
  <si>
    <t>T08.4</t>
  </si>
  <si>
    <t>Email thông báo yêu cầu cho gia sư</t>
  </si>
  <si>
    <t>• Mẫu email yêu cầu đặt lịch
• Gửi qua dịch vụ email SMTP dùng chung</t>
  </si>
  <si>
    <t>T12.1</t>
  </si>
  <si>
    <t>Nghiên cứu cổng thanh toán sandbox</t>
  </si>
  <si>
    <t>• Đọc tài liệu API
• Đăng ký tài khoản sandbox
• Chốt phương án + ghi tài liệu</t>
  </si>
  <si>
    <t>T08.5</t>
  </si>
  <si>
    <t>Kiểm thử đặt lịch, kể cả đồng thời</t>
  </si>
  <si>
    <t>• Test 2 người đặt cùng slot
• Test slot quá khứ</t>
  </si>
  <si>
    <t>T08.6</t>
  </si>
  <si>
    <t>T19.5</t>
  </si>
  <si>
    <t>Kiểm thử bảo mật cơ bản</t>
  </si>
  <si>
    <t>T12.2</t>
  </si>
  <si>
    <t>• Kiểm tra HTTP→HTTPS
• Thử chèn script / SQL injection</t>
  </si>
  <si>
    <t>Thiết kế CSDL thanh toán</t>
  </si>
  <si>
    <t>• ERD Payment
• Entity + migration
• Ràng buộc duy nhất mã giao dịch</t>
  </si>
  <si>
    <t>US09
(5 SP)</t>
  </si>
  <si>
    <t>Là gia sư, tôi muốn chấp nhận hoặc từ chối yêu cầu đặt lịch của học viên để tôi chủ động sắp xếp lịch dạy của mình.</t>
  </si>
  <si>
    <t>T12.3</t>
  </si>
  <si>
    <t>Tạo yêu cầu thanh toán</t>
  </si>
  <si>
    <t>T09.1</t>
  </si>
  <si>
    <t>• Dựng tham số và chữ ký
• Tạo bản ghi giao dịch Pending
• Chuyển hướng sang cổng</t>
  </si>
  <si>
    <t>Giao diện danh sách yêu cầu của gia sư</t>
  </si>
  <si>
    <t>• Bảng yêu cầu
• Nút chấp nhận/từ chối</t>
  </si>
  <si>
    <t>US04
(5 SP)</t>
  </si>
  <si>
    <t>T12.4</t>
  </si>
  <si>
    <t>T09.2</t>
  </si>
  <si>
    <t>Xử lý callback/IPN và xác thực chữ ký</t>
  </si>
  <si>
    <t>Chấp nhận / từ chối và cập nhật trạng thái</t>
  </si>
  <si>
    <t>• Action chấp nhận
• Action từ chối, mở lại slot
• Gửi email kết quả cho học viên</t>
  </si>
  <si>
    <t>• Endpoint nhận callback
• Xác thực chữ ký
• Cập nhật booking một lần (idempotent)</t>
  </si>
  <si>
    <t>Là quản trị viên, tôi muốn xem danh sách hồ sơ gia sư chờ duyệt và duyệt hoặc từ chối kèm lý do để chỉ gia sư đạt chuẩn mới hiển thị với học viên.</t>
  </si>
  <si>
    <t>T04.1</t>
  </si>
  <si>
    <t>T09.3</t>
  </si>
  <si>
    <t>Trạng thái hồ sơ gia sư</t>
  </si>
  <si>
    <t>Tự hủy yêu cầu quá 24 giờ</t>
  </si>
  <si>
    <t>• Thêm cột Status + lý do từ chối
• Migration</t>
  </si>
  <si>
    <t>• HostedService quét định kỳ
• Hủy booking và mở lại slot</t>
  </si>
  <si>
    <t>T12.5</t>
  </si>
  <si>
    <t>Giao diện thanh toán và trang kết quả</t>
  </si>
  <si>
    <t>• Trang tóm tắt đơn
• Trang kết quả + biên lai
• Nút thử lại</t>
  </si>
  <si>
    <t>T09.4</t>
  </si>
  <si>
    <t>Kiểm thử xác nhận/từ chối</t>
  </si>
  <si>
    <t>T12.6</t>
  </si>
  <si>
    <t>• Test chấp nhận/từ chối
• Test tự hủy</t>
  </si>
  <si>
    <t>Xử lý lỗi, timeout, thanh toán lặp</t>
  </si>
  <si>
    <t>• Hết hạn giao dịch Pending
• Chặn thanh toán lặp
• Ghi log lỗi</t>
  </si>
  <si>
    <t>T04.2</t>
  </si>
  <si>
    <t>Trang admin danh sách chờ duyệt</t>
  </si>
  <si>
    <t>• Bảng danh sách + bộ lọc
• Trang xem chi tiết hồ sơ chờ duyệt</t>
  </si>
  <si>
    <t>T12.7</t>
  </si>
  <si>
    <t>Kiểm thử trên sandbox</t>
  </si>
  <si>
    <t>• Test thành công/thất bại
• Test callback giả mạo/trùng</t>
  </si>
  <si>
    <t>T04.3</t>
  </si>
  <si>
    <t>T12.8</t>
  </si>
  <si>
    <t>Chức năng duyệt / từ chối</t>
  </si>
  <si>
    <t>Bảo mật thông tin thanh toán</t>
  </si>
  <si>
    <t>• Action duyệt
• Action từ chối + validate lý do</t>
  </si>
  <si>
    <t>• Lưu khóa bí mật trong User Secrets/biến môi trường
• Không ghi dữ liệu nhạy cảm vào log</t>
  </si>
  <si>
    <t>US14
(8 SP)</t>
  </si>
  <si>
    <t>Là học viên / gia sư, tôi muốn vào phòng học video riêng của buổi học bằng một nút bấm để chúng tôi học trực tuyến mà không cần cài thêm phần mềm.</t>
  </si>
  <si>
    <t>T04.4</t>
  </si>
  <si>
    <t>Email kết quả duyệt</t>
  </si>
  <si>
    <t>T14.1</t>
  </si>
  <si>
    <t>• Mẫu email duyệt/từ chối
• Gửi qua dịch vụ email SMTP dùng chung (đã có từ Sprint 1)</t>
  </si>
  <si>
    <t>Chọn giải pháp video</t>
  </si>
  <si>
    <t>• Thử nghiệm Jitsi iFrame API
• Chốt phương án + ghi tài liệu</t>
  </si>
  <si>
    <t>T04.5</t>
  </si>
  <si>
    <t>Kiểm thử duyệt hồ sơ</t>
  </si>
  <si>
    <t>T14.2</t>
  </si>
  <si>
    <t>• Test duyệt/từ chối
• Test hồ sơ chưa duyệt không hiện</t>
  </si>
  <si>
    <t>Sinh phòng học duy nhất theo booking</t>
  </si>
  <si>
    <t>• Sinh mã phòng ngẫu nhiên
• Lưu mã phòng vào booking</t>
  </si>
  <si>
    <t>Burndown lý tưởng</t>
  </si>
  <si>
    <t>US06
(3 SP)</t>
  </si>
  <si>
    <t>T14.3</t>
  </si>
  <si>
    <t>Là học viên, tôi muốn xem trang chi tiết hồ sơ gia sư (giới thiệu, học phí, đánh giá, lịch rảnh tóm tắt) để tôi đánh giá được gia sư trước khi đặt lịch.</t>
  </si>
  <si>
    <t>Kiểm soát quyền vào phòng</t>
  </si>
  <si>
    <t>• Kiểm tra người dùng thuộc booking
• Kiểm tra cửa sổ thời gian</t>
  </si>
  <si>
    <t>T06.1</t>
  </si>
  <si>
    <t>Giao diện trang chi tiết gia sư</t>
  </si>
  <si>
    <t>• Dựng layout trang
• Nút Đặt lịch</t>
  </si>
  <si>
    <t>T14.4</t>
  </si>
  <si>
    <t>Giao diện phòng học nhúng</t>
  </si>
  <si>
    <t>• Nhúng video
• Đồng hồ đếm giờ buổi học
• Nút rời phòng</t>
  </si>
  <si>
    <t>T06.2</t>
  </si>
  <si>
    <t>Dữ liệu đánh giá và lịch rảnh tóm tắt</t>
  </si>
  <si>
    <t>• Truy vấn đánh giá gần nhất
• Tóm tắt khung giờ rảnh trong tuần</t>
  </si>
  <si>
    <t>T14.5</t>
  </si>
  <si>
    <t>Kiểm thử đa trình duyệt</t>
  </si>
  <si>
    <t>• Test Chrome/Edge/Firefox
• Test truy cập trái phép</t>
  </si>
  <si>
    <t>T06.3</t>
  </si>
  <si>
    <t>Kiểm thử trang chi tiết</t>
  </si>
  <si>
    <t>• Test hiển thị dữ liệu
• Test ID không hợp lệ → 404</t>
  </si>
  <si>
    <t>T14.6</t>
  </si>
  <si>
    <t>Ghi nhận hoàn thành buổi học</t>
  </si>
  <si>
    <t>• Chuyển Completed khi hết giờ
• Ghi thời lượng thực tế</t>
  </si>
  <si>
    <t>US20
(8 SP)</t>
  </si>
  <si>
    <t>Là nhóm phát triển, tôi muốn kiểm thử tích hợp/hồi quy, UAT, triển khai và hoàn thiện tài liệu hướng dẫn để sản phẩm ổn định, đáp ứng Definition of Done và sẵn sàng bàn giao.</t>
  </si>
  <si>
    <t>T20.1</t>
  </si>
  <si>
    <t>Kiểm thử tích hợp và hồi quy</t>
  </si>
  <si>
    <t>• Lập checklist hồi quy
• Chạy và ghi nhận lỗi</t>
  </si>
  <si>
    <t>T20.2</t>
  </si>
  <si>
    <t>UAT với người dùng thử</t>
  </si>
  <si>
    <t>• Chuẩn bị kịch bản UAT
• Thu phản hồi + biên bản</t>
  </si>
  <si>
    <t>T20.3</t>
  </si>
  <si>
    <t>Sửa lỗi từ kiểm thử/UAT</t>
  </si>
  <si>
    <t>• Phân loại lỗi
• Sửa và kiểm tra lại</t>
  </si>
  <si>
    <t>US – TASK – SUBTASK (danh mục công việc theo User Story)</t>
  </si>
  <si>
    <t>Mỗi User Story chia thành Task; mỗi Task chia thành Subtask. Số giờ mỗi story = Story Point × giờ/SP.</t>
  </si>
  <si>
    <t>T20.4</t>
  </si>
  <si>
    <t>Triển khai</t>
  </si>
  <si>
    <t>• Cấu hình Kestrel/IIS + SQL Server
• Cài chứng chỉ HTTPS
• Kiểm thử sau triển khai</t>
  </si>
  <si>
    <t>User Story</t>
  </si>
  <si>
    <t>Task</t>
  </si>
  <si>
    <t>Mô tả chi tiết (CoS)</t>
  </si>
  <si>
    <t>Người</t>
  </si>
  <si>
    <t>Ước lượng thời gian (giờ)</t>
  </si>
  <si>
    <t>T20.5</t>
  </si>
  <si>
    <t>Hướng dẫn sử dụng và báo cáo BTL</t>
  </si>
  <si>
    <t>Số giờ thực tế</t>
  </si>
  <si>
    <t>• Hướng dẫn cho học viên/gia sư/admin
• Hoàn thiện báo cáo BTL</t>
  </si>
  <si>
    <t>US01 (5 SP)
Là học viên / gia sư, tôi muốn đăng ký tài khoản bằng email và mật khẩu để tôi có thể sử dụng hệ thống theo đúng vai trò của mình.</t>
  </si>
  <si>
    <t>T20.6</t>
  </si>
  <si>
    <t>Tinh chỉnh giao diện và hiệu năng</t>
  </si>
  <si>
    <t>• Rà soát UI/UX
• Tối ưu truy vấn chậm</t>
  </si>
  <si>
    <t>T01.1 Thiết kế CSDL người dùng</t>
  </si>
  <si>
    <t>Bảng Users/Roles và quan hệ.</t>
  </si>
  <si>
    <t>T01.2 Xử lý đăng ký (Controller/Service)</t>
  </si>
  <si>
    <t>Nhận form, kiểm tra và tạo tài khoản.</t>
  </si>
  <si>
    <t>T01.3 Giao diện đăng ký</t>
  </si>
  <si>
    <t>Form đăng ký chọn vai trò.</t>
  </si>
  <si>
    <t>Tải công việc theo thành viên</t>
  </si>
  <si>
    <t>T01.4 Kiểm thử đăng ký</t>
  </si>
  <si>
    <t>Giờ ước lượng</t>
  </si>
  <si>
    <t>Chạy test case TC01–TC05.</t>
  </si>
  <si>
    <t>% tổng</t>
  </si>
  <si>
    <t>SV1 – Product Owner</t>
  </si>
  <si>
    <t>T01.5 Review code &amp; merge</t>
  </si>
  <si>
    <t>Review PR, gộp vào nhánh develop.</t>
  </si>
  <si>
    <t>US02 (5 SP)
Là người dùng, tôi muốn đăng nhập, đăng xuất và đặt lại mật khẩu khi quên để tôi truy cập được tài khoản an toàn và lấy lại quyền truy cập khi quên mật khẩu.</t>
  </si>
  <si>
    <t>T02.1 Đăng nhập / đăng xuất</t>
  </si>
  <si>
    <t>Xác thực cookie, khóa tài khoản khi sai nhiều lần.</t>
  </si>
  <si>
    <t>T02.2 Quên / đặt lại mật khẩu</t>
  </si>
  <si>
    <t>Luồng token qua email.</t>
  </si>
  <si>
    <t>SV2 – Scrum Master</t>
  </si>
  <si>
    <t>T02.3 Giao diện đăng nhập &amp; quên mật khẩu</t>
  </si>
  <si>
    <t>Các trang xác thực.</t>
  </si>
  <si>
    <t>T02.4 Kiểm thử đăng nhập</t>
  </si>
  <si>
    <t>SV3 – Developer</t>
  </si>
  <si>
    <t>T02.5 Review code &amp; merge</t>
  </si>
  <si>
    <t>Review PR.</t>
  </si>
  <si>
    <t>US03 (8 SP)
Là gia sư, tôi muốn tạo và cập nhật hồ sơ (ảnh, giới thiệu, môn dạy, học phí/giờ, kinh nghiệm, chứng chỉ) để học viên hiểu rõ năng lực của tôi và chọn tôi.</t>
  </si>
  <si>
    <t>T03.1 Thiết kế CSDL hồ sơ gia sư</t>
  </si>
  <si>
    <t>Bảng TutorProfile, Subject, TutorSubject, Certificate.</t>
  </si>
  <si>
    <t>SV4 – Developer</t>
  </si>
  <si>
    <t>T03.2 CRUD hồ sơ gia sư</t>
  </si>
  <si>
    <t>Tạo, xem, sửa hồ sơ.</t>
  </si>
  <si>
    <t>T03.3 Upload ảnh và chứng chỉ</t>
  </si>
  <si>
    <t>Lưu file an toàn.</t>
  </si>
  <si>
    <t>SV5 – Developer</t>
  </si>
  <si>
    <t>T03.4 Giao diện form hồ sơ nhiều bước</t>
  </si>
  <si>
    <t>Form 3 bước: cơ bản – chuyên môn – chứng chỉ.</t>
  </si>
  <si>
    <t>T03.5 Trang xem hồ sơ cá nhân</t>
  </si>
  <si>
    <t>Gia sư xem hồ sơ như học viên thấy.</t>
  </si>
  <si>
    <t>T03.6 Kiểm thử hồ sơ gia sư</t>
  </si>
  <si>
    <t>US19 (5 SP)
Là người dùng, tôi muốn dữ liệu của tôi được bảo vệ bằng HTTPS, phân quyền và chống các tấn công phổ biến để thông tin cá nhân và giao dịch không bị lộ hoặc bị giả mạo.</t>
  </si>
  <si>
    <t>T19.1 Thiết lập repo Git, quy ước nhánh, bảng công việc</t>
  </si>
  <si>
    <t>Môi trường làm việc nhóm.</t>
  </si>
  <si>
    <t>T19.2 Cấu hình HTTPS/HSTS</t>
  </si>
  <si>
    <t>Chứng chỉ dev và chuyển hướng.</t>
  </si>
  <si>
    <t>T19.3 Chống CSRF/XSS/SQL Injection</t>
  </si>
  <si>
    <t>Bảo vệ các form và truy vấn.</t>
  </si>
  <si>
    <t>T19.4 Phân quyền theo vai trò</t>
  </si>
  <si>
    <t>Authorize theo role/policy.</t>
  </si>
  <si>
    <t>T19.5 Kiểm thử bảo mật cơ bản</t>
  </si>
  <si>
    <t>US04 (5 SP)
Là quản trị viên, tôi muốn xem danh sách hồ sơ gia sư chờ duyệt và duyệt hoặc từ chối kèm lý do để chỉ gia sư đạt chuẩn mới hiển thị với học viên.</t>
  </si>
  <si>
    <t>T04.1 Trạng thái hồ sơ gia sư</t>
  </si>
  <si>
    <t>Pending/Approved/Rejected.</t>
  </si>
  <si>
    <t>T04.2 Trang admin danh sách chờ duyệt</t>
  </si>
  <si>
    <t>Giao diện cho admin.</t>
  </si>
  <si>
    <t>T04.3 Chức năng duyệt / từ chối</t>
  </si>
  <si>
    <t>Cập nhật trạng thái, bắt buộc lý do khi từ chối.</t>
  </si>
  <si>
    <t>T04.4 Email kết quả duyệt</t>
  </si>
  <si>
    <t>Thông báo cho gia sư.</t>
  </si>
  <si>
    <t>T04.5 Kiểm thử duyệt hồ sơ</t>
  </si>
  <si>
    <t>Chạy test case TC01–TC04.</t>
  </si>
  <si>
    <t>US06 (3 SP)
Là học viên, tôi muốn xem trang chi tiết hồ sơ gia sư (giới thiệu, học phí, đánh giá, lịch rảnh tóm tắt) để tôi đánh giá được gia sư trước khi đặt lịch.</t>
  </si>
  <si>
    <t>T06.1 Giao diện trang chi tiết gia sư</t>
  </si>
  <si>
    <t>Hiển thị hồ sơ đầy đủ.</t>
  </si>
  <si>
    <t>T06.2 Dữ liệu đánh giá và lịch rảnh tóm tắt</t>
  </si>
  <si>
    <t>Truy vấn dữ liệu phụ.</t>
  </si>
  <si>
    <t>T06.3 Kiểm thử trang chi tiết</t>
  </si>
  <si>
    <t>Chạy test case TC01–TC03.</t>
  </si>
  <si>
    <t>US05 (8 SP)
Là học viên, tôi muốn tìm kiếm và lọc gia sư theo môn học, mức học phí, điểm đánh giá, ngôn ngữ giảng dạy để tôi nhanh chóng chọn được gia sư phù hợp nhu cầu và ngân sách.</t>
  </si>
  <si>
    <t>T05.1 Truy vấn tìm kiếm và lọc</t>
  </si>
  <si>
    <t>Lọc theo môn, giá, điểm, ngôn ngữ.</t>
  </si>
  <si>
    <t>T05.2 Tối ưu CSDL và phân trang</t>
  </si>
  <si>
    <t>Chỉ mục và phân trang.</t>
  </si>
  <si>
    <t>T05.3 Giao diện trang tìm kiếm</t>
  </si>
  <si>
    <t>Danh sách thẻ gia sư + sidebar bộ lọc.</t>
  </si>
  <si>
    <t>T05.4 Gợi ý từ khóa tìm kiếm</t>
  </si>
  <si>
    <t>Autocomplete tên môn.</t>
  </si>
  <si>
    <t>T05.5 Kiểm thử chức năng và hiệu năng</t>
  </si>
  <si>
    <t>T05.6 Review code &amp; merge</t>
  </si>
  <si>
    <t>US07 (8 SP)
Là gia sư, tôi muốn thiết lập các khung giờ rảnh theo tuần (thêm, sửa, xóa) để học viên chỉ đặt vào thời điểm tôi có thể dạy.</t>
  </si>
  <si>
    <t>T07.1 Thiết kế CSDL lịch rảnh</t>
  </si>
  <si>
    <t>Bảng Availability.</t>
  </si>
  <si>
    <t>T07.2 CRUD khung giờ rảnh + chống chồng lấn</t>
  </si>
  <si>
    <t>Logic nghiệp vụ lịch.</t>
  </si>
  <si>
    <t>T07.3 Giao diện lịch tuần của gia sư</t>
  </si>
  <si>
    <t>Lịch kéo chọn khung giờ.</t>
  </si>
  <si>
    <t>T07.4 Xử lý múi giờ và định dạng</t>
  </si>
  <si>
    <t>Lưu UTC, hiển thị giờ Việt Nam.</t>
  </si>
  <si>
    <t>T07.5 Kiểm thử lịch rảnh</t>
  </si>
  <si>
    <t>T07.6 Review code và chuẩn bị demo Sprint 2</t>
  </si>
  <si>
    <t>Chuẩn bị Review.</t>
  </si>
  <si>
    <t>US08 (8 SP)
Là học viên, tôi muốn chọn một khung giờ trống của gia sư và xác nhận đặt buổi học để tôi có buổi học đúng thời điểm mình mong muốn.</t>
  </si>
  <si>
    <t>T08.1 Thiết kế CSDL đặt lịch</t>
  </si>
  <si>
    <t>Bảng Booking và trạng thái.</t>
  </si>
  <si>
    <t>T08.2 Logic đặt lịch và chống đặt trùng</t>
  </si>
  <si>
    <t>Transaction + concurrency token.</t>
  </si>
  <si>
    <t>T08.3 Giao diện chọn khung giờ và xác nhận</t>
  </si>
  <si>
    <t>Luồng đặt lịch 2 bước.</t>
  </si>
  <si>
    <t>T08.4 Email thông báo yêu cầu cho gia sư</t>
  </si>
  <si>
    <t>Dùng lại dịch vụ email dùng chung.</t>
  </si>
  <si>
    <t>T08.5 Kiểm thử đặt lịch, kể cả đồng thời</t>
  </si>
  <si>
    <t>T08.6 Review code &amp; merge</t>
  </si>
  <si>
    <t>US09 (5 SP)
Là gia sư, tôi muốn chấp nhận hoặc từ chối yêu cầu đặt lịch của học viên để tôi chủ động sắp xếp lịch dạy của mình.</t>
  </si>
  <si>
    <t>T09.1 Giao diện danh sách yêu cầu của gia sư</t>
  </si>
  <si>
    <t>Hiển thị yêu cầu chờ.</t>
  </si>
  <si>
    <t>T09.2 Chấp nhận / từ chối và cập nhật trạng thái</t>
  </si>
  <si>
    <t>Đổi trạng thái booking.</t>
  </si>
  <si>
    <t>T09.3 Tự hủy yêu cầu quá 24 giờ</t>
  </si>
  <si>
    <t>Background service.</t>
  </si>
  <si>
    <t>T09.4 Kiểm thử xác nhận/từ chối</t>
  </si>
  <si>
    <t>US12 (13 SP)
Là học viên, tôi muốn thanh toán học phí online (thẻ ATM/ví điện tử qua cổng sandbox) khi đặt lịch để tôi giữ chỗ buổi học và không phải trả tiền mặt.</t>
  </si>
  <si>
    <t>T12.1 Nghiên cứu cổng thanh toán sandbox</t>
  </si>
  <si>
    <t>So sánh VNPay/MoMo sandbox và chọn.</t>
  </si>
  <si>
    <t>T12.2 Thiết kế CSDL thanh toán</t>
  </si>
  <si>
    <t>Bảng Payment/Transaction.</t>
  </si>
  <si>
    <t>T12.3 Tạo yêu cầu thanh toán</t>
  </si>
  <si>
    <t>Sinh URL thanh toán có chữ ký.</t>
  </si>
  <si>
    <t>T12.4 Xử lý callback/IPN và xác thực chữ ký</t>
  </si>
  <si>
    <t>Cập nhật kết quả.</t>
  </si>
  <si>
    <t>T12.5 Giao diện thanh toán và trang kết quả</t>
  </si>
  <si>
    <t>Trang tóm tắt, thành công, thất bại.</t>
  </si>
  <si>
    <t>T12.6 Xử lý lỗi, timeout, thanh toán lặp</t>
  </si>
  <si>
    <t>Các trường hợp bất thường.</t>
  </si>
  <si>
    <t>T12.7 Kiểm thử trên sandbox</t>
  </si>
  <si>
    <t>T12.8 Bảo mật thông tin thanh toán</t>
  </si>
  <si>
    <t>Không lưu thẻ, bảo vệ khóa.</t>
  </si>
  <si>
    <t>US14 (8 SP)
Là học viên / gia sư, tôi muốn vào phòng học video riêng của buổi học bằng một nút bấm để chúng tôi học trực tuyến mà không cần cài thêm phần mềm.</t>
  </si>
  <si>
    <t>T14.1 Chọn giải pháp video</t>
  </si>
  <si>
    <t>So sánh Jitsi Meet (nhúng) với Google Meet.</t>
  </si>
  <si>
    <t>T14.2 Sinh phòng học duy nhất theo booking</t>
  </si>
  <si>
    <t>Tên phòng ngẫu nhiên không đoán được.</t>
  </si>
  <si>
    <t>T14.3 Kiểm soát quyền vào phòng</t>
  </si>
  <si>
    <t>Chỉ 2 bên, đúng khung giờ.</t>
  </si>
  <si>
    <t>T14.4 Giao diện phòng học nhúng</t>
  </si>
  <si>
    <t>Trang phòng học.</t>
  </si>
  <si>
    <t>T14.5 Kiểm thử đa trình duyệt</t>
  </si>
  <si>
    <t>T14.6 Ghi nhận hoàn thành buổi học</t>
  </si>
  <si>
    <t>Cập nhật trạng thái.</t>
  </si>
  <si>
    <t>US20 (8 SP)
Là nhóm phát triển, tôi muốn kiểm thử tích hợp/hồi quy, UAT, triển khai và hoàn thiện tài liệu hướng dẫn để sản phẩm ổn định, đáp ứng Definition of Done và sẵn sàng bàn giao.</t>
  </si>
  <si>
    <t>T20.1 Kiểm thử tích hợp và hồi quy</t>
  </si>
  <si>
    <t>Bộ test các luồng chính.</t>
  </si>
  <si>
    <t>T20.2 UAT với người dùng thử</t>
  </si>
  <si>
    <t>≥ 5 người dùng thử.</t>
  </si>
  <si>
    <t>T20.3 Sửa lỗi từ kiểm thử/UAT</t>
  </si>
  <si>
    <t>Sửa lỗi Critical/High.</t>
  </si>
  <si>
    <t>T20.4 Triển khai</t>
  </si>
  <si>
    <t>Môi trường chạy thật.</t>
  </si>
  <si>
    <t>T20.5 Hướng dẫn sử dụng và báo cáo BTL</t>
  </si>
  <si>
    <t>Tài liệu bàn giao.</t>
  </si>
  <si>
    <t>T20.6 Tinh chỉnh giao diện và hiệu năng</t>
  </si>
  <si>
    <t>Hoàn thiện.</t>
  </si>
  <si>
    <t>SPRINT REVIEW</t>
  </si>
  <si>
    <t>Mục tiêu: trình bày kết quả của Sprint (demo phần mềm chạy được) và thu thập phản hồi để cập nhật Product Backlog</t>
  </si>
  <si>
    <t>Vai trò</t>
  </si>
  <si>
    <t>Nhiệm vụ trong buổi Review</t>
  </si>
  <si>
    <t>Product Owner (SV1)</t>
  </si>
  <si>
    <t>Giải thích Sprint Goal; nêu story Done / chưa Done; bàn việc tiếp theo của Product Backlog; mời người dùng thử/giảng viên phản hồi.</t>
  </si>
  <si>
    <t>Dev Team (SV3–SV5)</t>
  </si>
  <si>
    <t>Demo phần đã hoàn thành theo Definition of Done; trả lời câu hỏi; nêu vấn đề và rủi ro gặp phải.</t>
  </si>
  <si>
    <t>Scrum Master (SV2)</t>
  </si>
  <si>
    <t>Đảm bảo sự kiện diễn ra đúng giờ, có cấu trúc, tạo môi trường góp ý cởi mở; ghi biên bản.</t>
  </si>
  <si>
    <t>Stakeholder (giảng viên/người dùng thử)</t>
  </si>
  <si>
    <t>Đưa phản hồi về sản phẩm và Sprint; chất vấn PO về tiến độ và định hướng tiếp theo.</t>
  </si>
  <si>
    <t>SPRINT RETROSPECTIVE</t>
  </si>
  <si>
    <t>Tên sprint (Sprint title):</t>
  </si>
  <si>
    <t>Mục tiêu: đánh giá cách làm việc của nhóm trong Sprint và đưa ra hành động cải tiến cho Sprint sau (điền ngay sau Sprint Review)</t>
  </si>
  <si>
    <t>Nội dung đã làm tốt (cụ thể, đo lường được)</t>
  </si>
  <si>
    <t>Mục tiêu (Sprint goal):</t>
  </si>
  <si>
    <t>Nội dung cần điều chỉnh (nêu nguyên nhân)</t>
  </si>
  <si>
    <t>Hành động cải thiện (giải pháp – người phụ trách – thời hạn)</t>
  </si>
  <si>
    <t>Start doing</t>
  </si>
  <si>
    <t>Stop doing</t>
  </si>
  <si>
    <t>Continue doing</t>
  </si>
  <si>
    <t>VÍ DỤ (xóa khi điền)</t>
  </si>
  <si>
    <t>Hoàn thành 80% task đúng hạn; lập kế hoạch bằng Planning Poker giúp ước lượng sát (sai lệch giờ &lt; 15%).</t>
  </si>
  <si>
    <t>Thay đổi yêu cầu của PO chưa được báo kịp thời nên phải làm lại 1 task. Nguyên nhân: chưa có kênh liên lạc chung.</t>
  </si>
  <si>
    <t>Giải pháp: lập nhóm chat và ghi thay đổi vào Product Backlog. Phụ trách: SV2. Bắt đầu từ Sprint 2.</t>
  </si>
  <si>
    <t>Cập nhật Backlog ngay khi có thay đổi</t>
  </si>
  <si>
    <t>Nhắn việc riêng ngoài kênh nhóm</t>
  </si>
  <si>
    <t>Review PR trong 24 giờ</t>
  </si>
  <si>
    <t>SP1</t>
  </si>
  <si>
    <t>Từ ngày (From):</t>
  </si>
  <si>
    <t>SP2</t>
  </si>
  <si>
    <t>SP3</t>
  </si>
  <si>
    <t>đến ngày (To):</t>
  </si>
  <si>
    <t>Gợi ý khi viết:</t>
  </si>
  <si>
    <t>• Điều gì khiến Sprint thành công? Công cụ/quy trình nào hiệu quả? Ai đóng góp nổi bật?</t>
  </si>
  <si>
    <t>• Nêu số liệu minh họa (tỷ lệ task đúng hạn, số lỗi, chênh lệch ước lượng và thực tế).</t>
  </si>
  <si>
    <t>• Với vấn đề: hỏi tại sao – ai – ở đâu – như thế nào; đề xuất giải pháp khả thi, gán người phụ trách và hạn hoàn thành.</t>
  </si>
  <si>
    <t>Team / Người demo</t>
  </si>
  <si>
    <t>Sprint status (User Story)</t>
  </si>
  <si>
    <t>Things to demo (task demo)</t>
  </si>
  <si>
    <t>Quick update (phản hồi và cập nhật mới)</t>
  </si>
  <si>
    <t>Điều chỉnh (what next)</t>
  </si>
  <si>
    <t>Trạng thái</t>
  </si>
  <si>
    <t>Nhóm 8 – SV5</t>
  </si>
  <si>
    <t>US01: Là học viên / gia sư, tôi muốn đăng ký tài khoản bằng email và mật khẩu để tôi có thể sử dụng hệ thống theo đúng vai trò của mình.</t>
  </si>
  <si>
    <t>• Thiết kế CSDL người dùng
• Xử lý đăng ký (Controller/Service)
• Giao diện đăng ký</t>
  </si>
  <si>
    <t>Nhóm 8 – SV3</t>
  </si>
  <si>
    <t>US02: Là người dùng, tôi muốn đăng nhập, đăng xuất và đặt lại mật khẩu khi quên để tôi truy cập được tài khoản an toàn và lấy lại quyền truy cập khi quên mật khẩu.</t>
  </si>
  <si>
    <t>• Đăng nhập / đăng xuất
• Quên / đặt lại mật khẩu
• Giao diện đăng nhập &amp; quên mật khẩu</t>
  </si>
  <si>
    <t>US03: Là gia sư, tôi muốn tạo và cập nhật hồ sơ (ảnh, giới thiệu, môn dạy, học phí/giờ, kinh nghiệm, chứng chỉ) để học viên hiểu rõ năng lực của tôi và chọn tôi.</t>
  </si>
  <si>
    <t>• Thiết kế CSDL hồ sơ gia sư
• CRUD hồ sơ gia sư
• Upload ảnh và chứng chỉ
• Giao diện form hồ sơ nhiều bước</t>
  </si>
  <si>
    <t>Nhóm 8 – SV2</t>
  </si>
  <si>
    <t>US19: Là người dùng, tôi muốn dữ liệu của tôi được bảo vệ bằng HTTPS, phân quyền và chống các tấn công phổ biến để thông tin cá nhân và giao dịch không bị lộ hoặc bị giả mạo.</t>
  </si>
  <si>
    <t>• Thiết lập repo Git, quy ước nhánh, bảng công việc
• Cấu hình HTTPS/HSTS
• Chống CSRF/XSS/SQL Injection
• Phân quyền theo vai trò</t>
  </si>
  <si>
    <t>US04: Là quản trị viên, tôi muốn xem danh sách hồ sơ gia sư chờ duyệt và duyệt hoặc từ chối kèm lý do để chỉ gia sư đạt chuẩn mới hiển thị với học viên.</t>
  </si>
  <si>
    <t>• Trạng thái hồ sơ gia sư
• Trang admin danh sách chờ duyệt
• Chức năng duyệt / từ chối
• Email kết quả duyệt</t>
  </si>
  <si>
    <t>Nhóm 8 – SV4</t>
  </si>
  <si>
    <t>US06: Là học viên, tôi muốn xem trang chi tiết hồ sơ gia sư (giới thiệu, học phí, đánh giá, lịch rảnh tóm tắt) để tôi đánh giá được gia sư trước khi đặt lịch.</t>
  </si>
  <si>
    <t>• Giao diện trang chi tiết gia sư
• Dữ liệu đánh giá và lịch rảnh tóm tắt</t>
  </si>
  <si>
    <t>QUẢN LÝ RỦI RO</t>
  </si>
  <si>
    <t>Rà soát tại mỗi Sprint Retrospective; cập nhật cột Trạng thái</t>
  </si>
  <si>
    <t>ID</t>
  </si>
  <si>
    <t>Rủi ro</t>
  </si>
  <si>
    <t>Khả năng xảy ra</t>
  </si>
  <si>
    <t>Mức tác động</t>
  </si>
  <si>
    <t>Biện pháp phòng ngừa/giảm thiểu</t>
  </si>
  <si>
    <t>Người phụ trách</t>
  </si>
  <si>
    <t>US05: Là học viên, tôi muốn tìm kiếm và lọc gia sư theo môn học, mức học phí, điểm đánh giá, ngôn ngữ giảng dạy để tôi nhanh chóng chọn được gia sư phù hợp nhu cầu và ngân sách.</t>
  </si>
  <si>
    <t>• Truy vấn tìm kiếm và lọc
• Tối ưu CSDL và phân trang
• Giao diện trang tìm kiếm
• Gợi ý từ khóa tìm kiếm</t>
  </si>
  <si>
    <t>US07: Là gia sư, tôi muốn thiết lập các khung giờ rảnh theo tuần (thêm, sửa, xóa) để học viên chỉ đặt vào thời điểm tôi có thể dạy.</t>
  </si>
  <si>
    <t>• Thiết kế CSDL lịch rảnh
• CRUD khung giờ rảnh + chống chồng lấn
• Giao diện lịch tuần của gia sư
• Xử lý múi giờ và định dạng</t>
  </si>
  <si>
    <t>R1</t>
  </si>
  <si>
    <t>US08: Là học viên, tôi muốn chọn một khung giờ trống của gia sư và xác nhận đặt buổi học để tôi có buổi học đúng thời điểm mình mong muốn.</t>
  </si>
  <si>
    <t>Thành viên bận thi/đồ án khác nên trễ tiến độ</t>
  </si>
  <si>
    <t>• Thiết kế CSDL đặt lịch
• Logic đặt lịch và chống đặt trùng
• Giao diện chọn khung giờ và xác nhận
• Email thông báo yêu cầu cho gia sư</t>
  </si>
  <si>
    <t>Giữ velocity ≤ 100 giờ/sprint; Daily Scrum 15 phút; việc quan trọng có người dự phòng.</t>
  </si>
  <si>
    <t>US09: Là gia sư, tôi muốn chấp nhận hoặc từ chối yêu cầu đặt lịch của học viên để tôi chủ động sắp xếp lịch dạy của mình.</t>
  </si>
  <si>
    <t>Đang theo dõi</t>
  </si>
  <si>
    <t>• Giao diện danh sách yêu cầu của gia sư
• Chấp nhận / từ chối và cập nhật trạng thái
• Tự hủy yêu cầu quá 24 giờ</t>
  </si>
  <si>
    <t>R2</t>
  </si>
  <si>
    <t>Tích hợp cổng thanh toán sandbox gặp lỗi/thiếu tài liệu</t>
  </si>
  <si>
    <t>Nghiên cứu sớm (T12.1); chuẩn bị phương án dự phòng (giả lập cổng thanh toán).</t>
  </si>
  <si>
    <t>R3</t>
  </si>
  <si>
    <t>Đặt trùng khung giờ khi nhiều người cùng đặt</t>
  </si>
  <si>
    <t>Dùng transaction + RowVersion; test đồng thời trong Sprint 2.</t>
  </si>
  <si>
    <t>R4</t>
  </si>
  <si>
    <t>Rò rỉ dữ liệu cá nhân/khóa bí mật</t>
  </si>
  <si>
    <t>HTTPS, phân quyền, User Secrets, không log dữ liệu nhạy cảm.</t>
  </si>
  <si>
    <t>R5</t>
  </si>
  <si>
    <t>Xung đột mã nguồn khi 5 người cùng sửa</t>
  </si>
  <si>
    <t>Quy ước nhánh feature + Pull Request + review bắt buộc.</t>
  </si>
  <si>
    <t>R6</t>
  </si>
  <si>
    <t>Yêu cầu thay đổi giữa chừng</t>
  </si>
  <si>
    <t>PO cập nhật Product Backlog; thay đổi chỉ vào sprint kế tiếp.</t>
  </si>
  <si>
    <t>KẾ HOẠCH LÀM VIỆC NHÓM</t>
  </si>
  <si>
    <t>Nhóm: 8</t>
  </si>
  <si>
    <t>Ngày bắt đầu - Start time:</t>
  </si>
  <si>
    <t>Ngày kết thúc - End date:</t>
  </si>
  <si>
    <t>Thành viên nhóm - Team members:</t>
  </si>
  <si>
    <t>US12: Là học viên, tôi muốn thanh toán học phí online (thẻ ATM/ví điện tử qua cổng sandbox) khi đặt lịch để tôi giữ chỗ buổi học và không phải trả tiền mặt.</t>
  </si>
  <si>
    <t>SV1 (PO), SV2 (SM), SV3, SV4, SV5 (Dev) – xem sheet 'Cấu trúc nhóm'</t>
  </si>
  <si>
    <t>• Nghiên cứu cổng thanh toán sandbox
• Thiết kế CSDL thanh toán
• Tạo yêu cầu thanh toán
• Xử lý callback/IPN và xác thực chữ ký</t>
  </si>
  <si>
    <t>#</t>
  </si>
  <si>
    <t>Công việc - Task</t>
  </si>
  <si>
    <t>US14: Là học viên / gia sư, tôi muốn vào phòng học video riêng của buổi học bằng một nút bấm để chúng tôi học trực tuyến mà không cần cài thêm phần mềm.</t>
  </si>
  <si>
    <t>Ngày bắt đầu dự kiến</t>
  </si>
  <si>
    <t>• Chọn giải pháp video
• Sinh phòng học duy nhất theo booking
• Kiểm soát quyền vào phòng
• Giao diện phòng học nhúng</t>
  </si>
  <si>
    <t>Ngày bắt đầu thực tế</t>
  </si>
  <si>
    <t>Ngày kết thúc dự kiến</t>
  </si>
  <si>
    <t>Ngày kết thúc thực tế</t>
  </si>
  <si>
    <t>Trạng thái (On-go / Done / Late / Pending)</t>
  </si>
  <si>
    <t>Người thực hiện</t>
  </si>
  <si>
    <t>Ghi chú</t>
  </si>
  <si>
    <t>US20: Là nhóm phát triển, tôi muốn kiểm thử tích hợp/hồi quy, UAT, triển khai và hoàn thiện tài liệu hướng dẫn để sản phẩm ổn định, đáp ứng Definition of Done và sẵn sàng bàn giao.</t>
  </si>
  <si>
    <t>• UAT với người dùng thử
• Sửa lỗi từ kiểm thử/UAT
• Triển khai
• Hướng dẫn sử dụng và báo cáo BTL</t>
  </si>
  <si>
    <t>Sprint 0 – Chuẩn bị: hồ sơ đề xuất, Product Backlog, story mapping, môi trường, quy ước Git</t>
  </si>
  <si>
    <t>Pending</t>
  </si>
  <si>
    <t>SV1, SV2</t>
  </si>
  <si>
    <t>PO soạn Backlog; SM dựng repo/board</t>
  </si>
  <si>
    <t>Sprint 1 Planning + thực hiện Sprint 1</t>
  </si>
  <si>
    <t>Cả nhóm</t>
  </si>
  <si>
    <t>Mục tiêu: gia sư đăng ký, đưa hồ sơ chuyên môn lên hệ thống và được admin kiểm duyệt để hồ sơ hiển thị công khai</t>
  </si>
  <si>
    <t>Sprint 1 Review + Retrospective</t>
  </si>
  <si>
    <t>Demo, thu phản hồi, cải tiến quy trình</t>
  </si>
  <si>
    <t>Sprint 2 Planning + thực hiện Sprint 2</t>
  </si>
  <si>
    <t>Mục tiêu: học viên tìm đúng gia sư theo môn và học phí rồi đặt được buổi học vào khung giờ rảnh của gia sư, và gia sư xác nhận được yêu cầu</t>
  </si>
  <si>
    <t>Sprint 2 Review + Retrospective</t>
  </si>
  <si>
    <t>Sprint 3 Planning + thực hiện Sprint 3</t>
  </si>
  <si>
    <t>Mục tiêu: học viên thanh toán online và vào học video ngay trên web, và bản V2.0 sẵn sàng cho người dùng thật</t>
  </si>
  <si>
    <t>Sprint 3 Review + Retrospective</t>
  </si>
  <si>
    <t>Phát hành V1.0 (sau Sprint 2)</t>
  </si>
  <si>
    <t>Gắn tag Git v1.0</t>
  </si>
  <si>
    <t>Phát hành V2.0 (sau Sprint 3)</t>
  </si>
  <si>
    <t>Gắn tag Git v2.0, triển khai bản chạy HTTPS</t>
  </si>
  <si>
    <t>Tuần dự phòng: sửa lỗi còn lại, hoàn thiện và nộp báo cáo BTL</t>
  </si>
  <si>
    <t>Không xếp công việc mới vào tuần này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</si>
</sst>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
    <numFmt numFmtId="166" formatCode="0.0"/>
  </numFmts>
  <fonts count="10">
    <font>
      <sz val="11.0"/>
      <color theme="1"/>
      <name val="Calibri"/>
      <scheme val="minor"/>
    </font>
    <font>
      <b/>
      <sz val="14.0"/>
      <color rgb="FF1F3864"/>
      <name val="Arial"/>
    </font>
    <font>
      <i/>
      <sz val="10.0"/>
      <color rgb="FF595959"/>
      <name val="Arial"/>
    </font>
    <font>
      <b/>
      <sz val="10.0"/>
      <color rgb="FFFFFFFF"/>
      <name val="Arial"/>
    </font>
    <font>
      <sz val="10.0"/>
      <color theme="1"/>
      <name val="Arial"/>
    </font>
    <font>
      <b/>
      <sz val="10.0"/>
      <color theme="1"/>
      <name val="Arial"/>
    </font>
    <font>
      <sz val="10.0"/>
      <color rgb="FF0000FF"/>
      <name val="Arial"/>
    </font>
    <font>
      <u/>
      <sz val="10.0"/>
      <color rgb="FF0000FF"/>
      <name val="Arial"/>
    </font>
    <font/>
    <font>
      <i/>
      <sz val="10.0"/>
      <color rgb="FF7F7F7F"/>
      <name val="Arial"/>
    </font>
  </fonts>
  <fills count="7">
    <fill>
      <patternFill patternType="none"/>
    </fill>
    <fill>
      <patternFill patternType="lightGray"/>
    </fill>
    <fill>
      <patternFill patternType="solid">
        <fgColor rgb="FF1F3864"/>
        <bgColor rgb="FF1F3864"/>
      </patternFill>
    </fill>
    <fill>
      <patternFill patternType="solid">
        <fgColor rgb="FFD9E2F3"/>
        <bgColor rgb="FFD9E2F3"/>
      </patternFill>
    </fill>
    <fill>
      <patternFill patternType="solid">
        <fgColor rgb="FFFFFF00"/>
        <bgColor rgb="FFFFFF00"/>
      </patternFill>
    </fill>
    <fill>
      <patternFill patternType="solid">
        <fgColor rgb="FFEAF1DD"/>
        <bgColor rgb="FFEAF1DD"/>
      </patternFill>
    </fill>
    <fill>
      <patternFill patternType="solid">
        <fgColor rgb="FFF2F2F2"/>
        <bgColor rgb="FFF2F2F2"/>
      </patternFill>
    </fill>
  </fills>
  <borders count="7">
    <border/>
    <border>
      <left style="thin">
        <color rgb="FFA6A6A6"/>
      </left>
      <right style="thin">
        <color rgb="FFA6A6A6"/>
      </right>
      <top style="thin">
        <color rgb="FFA6A6A6"/>
      </top>
      <bottom style="thin">
        <color rgb="FFA6A6A6"/>
      </bottom>
    </border>
    <border>
      <left style="thin">
        <color rgb="FFA6A6A6"/>
      </left>
      <top style="thin">
        <color rgb="FFA6A6A6"/>
      </top>
      <bottom style="thin">
        <color rgb="FFA6A6A6"/>
      </bottom>
    </border>
    <border>
      <top style="thin">
        <color rgb="FFA6A6A6"/>
      </top>
      <bottom style="thin">
        <color rgb="FFA6A6A6"/>
      </bottom>
    </border>
    <border>
      <left style="thin">
        <color rgb="FFA6A6A6"/>
      </left>
      <right style="thin">
        <color rgb="FFA6A6A6"/>
      </right>
      <top style="thin">
        <color rgb="FFA6A6A6"/>
      </top>
    </border>
    <border>
      <left style="thin">
        <color rgb="FFA6A6A6"/>
      </left>
      <right style="thin">
        <color rgb="FFA6A6A6"/>
      </right>
    </border>
    <border>
      <left style="thin">
        <color rgb="FFA6A6A6"/>
      </left>
      <right style="thin">
        <color rgb="FFA6A6A6"/>
      </right>
      <bottom style="thin">
        <color rgb="FFA6A6A6"/>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3" fontId="5" numFmtId="0" xfId="0" applyAlignment="1" applyBorder="1" applyFill="1" applyFont="1">
      <alignment shrinkToFit="0" vertical="top" wrapText="1"/>
    </xf>
    <xf borderId="1" fillId="4" fontId="6" numFmtId="0" xfId="0" applyAlignment="1" applyBorder="1" applyFill="1" applyFont="1">
      <alignment readingOrder="0" shrinkToFit="0" vertical="top"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top" wrapText="1"/>
    </xf>
    <xf borderId="1" fillId="4" fontId="6" numFmtId="0" xfId="0" applyAlignment="1" applyBorder="1" applyFill="1" applyFont="1">
      <alignment shrinkToFit="0" vertical="top" wrapText="1"/>
    </xf>
    <xf borderId="1" fillId="0" fontId="4" numFmtId="164" xfId="0" applyAlignment="1" applyBorder="1" applyFont="1" applyNumberFormat="1">
      <alignment horizontal="center" shrinkToFit="0" vertical="center" wrapText="1"/>
    </xf>
    <xf borderId="1" fillId="4" fontId="7" numFmtId="0" xfId="0" applyAlignment="1" applyBorder="1" applyFill="1" applyFont="1">
      <alignment readingOrder="0" shrinkToFit="0" vertical="top" wrapText="1"/>
    </xf>
    <xf borderId="1" fillId="3" fontId="5" numFmtId="0" xfId="0" applyAlignment="1" applyBorder="1" applyFill="1" applyFont="1">
      <alignment horizontal="center" shrinkToFit="0" vertical="center" wrapText="1"/>
    </xf>
    <xf borderId="1" fillId="5" fontId="4" numFmtId="0" xfId="0" applyAlignment="1" applyBorder="1" applyFill="1" applyFont="1">
      <alignment shrinkToFit="0" vertical="top" wrapText="1"/>
    </xf>
    <xf borderId="1" fillId="5" fontId="4" numFmtId="0" xfId="0" applyAlignment="1" applyBorder="1" applyFill="1" applyFont="1">
      <alignment readingOrder="0" shrinkToFit="0" vertical="top" wrapText="1"/>
    </xf>
    <xf borderId="1" fillId="0" fontId="6" numFmtId="0" xfId="0" applyAlignment="1" applyBorder="1" applyFont="1">
      <alignment horizontal="center" shrinkToFit="0" vertical="center" wrapText="1"/>
    </xf>
    <xf borderId="1" fillId="0" fontId="4" numFmtId="0" xfId="0" applyAlignment="1" applyBorder="1" applyFont="1">
      <alignment readingOrder="0" shrinkToFit="0" vertical="top" wrapText="1"/>
    </xf>
    <xf borderId="1" fillId="4" fontId="6" numFmtId="0" xfId="0" applyAlignment="1" applyBorder="1" applyFill="1" applyFont="1">
      <alignment horizontal="center" shrinkToFit="0" vertical="center" wrapText="1"/>
    </xf>
    <xf borderId="2" fillId="0" fontId="2" numFmtId="0" xfId="0" applyAlignment="1" applyBorder="1" applyFont="1">
      <alignment shrinkToFit="0" vertical="top" wrapText="1"/>
    </xf>
    <xf borderId="3" fillId="0" fontId="8" numFmtId="0" xfId="0" applyBorder="1" applyFont="1"/>
    <xf borderId="1" fillId="4" fontId="6" numFmtId="164" xfId="0" applyAlignment="1" applyBorder="1" applyFill="1" applyFont="1" applyNumberFormat="1">
      <alignment horizontal="center" shrinkToFit="0" vertical="center" wrapText="1"/>
    </xf>
    <xf borderId="0" fillId="0" fontId="5" numFmtId="0" xfId="0" applyAlignment="1" applyFont="1">
      <alignment shrinkToFit="0" vertical="bottom" wrapText="0"/>
    </xf>
    <xf borderId="1" fillId="2" fontId="3" numFmtId="0" xfId="0" applyAlignment="1" applyBorder="1" applyFill="1" applyFont="1">
      <alignment horizontal="center" readingOrder="0" shrinkToFit="0" vertical="center" wrapText="1"/>
    </xf>
    <xf borderId="1" fillId="0" fontId="4" numFmtId="9" xfId="0" applyAlignment="1" applyBorder="1" applyFont="1" applyNumberFormat="1">
      <alignment horizontal="center" shrinkToFit="0" vertical="center" wrapText="1"/>
    </xf>
    <xf borderId="2" fillId="0" fontId="4" numFmtId="0" xfId="0" applyAlignment="1" applyBorder="1" applyFont="1">
      <alignment shrinkToFit="0" vertical="top" wrapText="1"/>
    </xf>
    <xf borderId="0" fillId="0" fontId="4" numFmtId="0" xfId="0" applyAlignment="1" applyFont="1">
      <alignment shrinkToFit="0" vertical="bottom" wrapText="0"/>
    </xf>
    <xf borderId="1" fillId="6" fontId="5" numFmtId="0" xfId="0" applyAlignment="1" applyBorder="1" applyFill="1" applyFont="1">
      <alignment horizontal="center" shrinkToFit="0" vertical="center" wrapText="1"/>
    </xf>
    <xf borderId="1" fillId="6" fontId="5" numFmtId="9" xfId="0" applyAlignment="1" applyBorder="1" applyFill="1" applyFont="1" applyNumberFormat="1">
      <alignment horizontal="center" shrinkToFit="0" vertical="center" wrapText="1"/>
    </xf>
    <xf borderId="1" fillId="6" fontId="4" numFmtId="0" xfId="0" applyAlignment="1" applyBorder="1" applyFill="1" applyFont="1">
      <alignment shrinkToFit="0" vertical="top" wrapText="1"/>
    </xf>
    <xf borderId="1" fillId="6" fontId="2" numFmtId="0" xfId="0" applyAlignment="1" applyBorder="1" applyFill="1" applyFont="1">
      <alignment horizontal="center" shrinkToFit="0" vertical="center" wrapText="1"/>
    </xf>
    <xf borderId="1" fillId="6" fontId="2" numFmtId="165" xfId="0" applyAlignment="1" applyBorder="1" applyFill="1" applyFont="1" applyNumberFormat="1">
      <alignment horizontal="center" shrinkToFit="0" vertical="center" wrapText="1"/>
    </xf>
    <xf borderId="4" fillId="5" fontId="5" numFmtId="0" xfId="0" applyAlignment="1" applyBorder="1" applyFill="1" applyFont="1">
      <alignment horizontal="center" shrinkToFit="0" vertical="center" wrapText="1"/>
    </xf>
    <xf borderId="4" fillId="5" fontId="4" numFmtId="0" xfId="0" applyAlignment="1" applyBorder="1" applyFill="1" applyFont="1">
      <alignment shrinkToFit="0" vertical="top" wrapText="1"/>
    </xf>
    <xf borderId="5" fillId="0" fontId="8" numFmtId="0" xfId="0" applyBorder="1" applyFont="1"/>
    <xf borderId="6" fillId="0" fontId="8" numFmtId="0" xfId="0" applyBorder="1" applyFont="1"/>
    <xf borderId="4" fillId="4" fontId="5" numFmtId="0" xfId="0" applyAlignment="1" applyBorder="1" applyFill="1" applyFont="1">
      <alignment horizontal="center" shrinkToFit="0" vertical="center" wrapText="1"/>
    </xf>
    <xf borderId="4" fillId="4" fontId="4" numFmtId="0" xfId="0" applyAlignment="1" applyBorder="1" applyFill="1" applyFont="1">
      <alignment shrinkToFit="0" vertical="top" wrapText="1"/>
    </xf>
    <xf borderId="1" fillId="6" fontId="4" numFmtId="166" xfId="0" applyAlignment="1" applyBorder="1" applyFill="1" applyFont="1" applyNumberFormat="1">
      <alignment horizontal="center" shrinkToFit="0" vertical="center" wrapText="1"/>
    </xf>
    <xf borderId="4" fillId="5" fontId="5" numFmtId="0" xfId="0" applyAlignment="1" applyBorder="1" applyFill="1" applyFont="1">
      <alignment shrinkToFit="0" vertical="top" wrapText="1"/>
    </xf>
    <xf borderId="1" fillId="0" fontId="5" numFmtId="0" xfId="0" applyAlignment="1" applyBorder="1" applyFont="1">
      <alignment shrinkToFit="0" vertical="top" wrapText="1"/>
    </xf>
    <xf borderId="1" fillId="0" fontId="9" numFmtId="0" xfId="0" applyAlignment="1" applyBorder="1" applyFont="1">
      <alignment shrinkToFit="0" vertical="top" wrapText="1"/>
    </xf>
    <xf borderId="0" fillId="0" fontId="5" numFmtId="0" xfId="0" applyAlignment="1" applyFont="1">
      <alignment shrinkToFit="0" vertical="top" wrapText="1"/>
    </xf>
    <xf borderId="0" fillId="0" fontId="6" numFmtId="164" xfId="0" applyAlignment="1" applyFont="1" applyNumberFormat="1">
      <alignment shrinkToFit="0" vertical="top" wrapText="1"/>
    </xf>
    <xf borderId="0" fillId="0" fontId="4" numFmtId="0" xfId="0" applyAlignment="1" applyFont="1">
      <alignment shrinkToFit="0" vertical="top" wrapText="1"/>
    </xf>
    <xf borderId="1" fillId="0" fontId="6"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Sprint 1</a:t>
            </a:r>
          </a:p>
        </c:rich>
      </c:tx>
      <c:overlay val="0"/>
    </c:title>
    <c:plotArea>
      <c:layout/>
      <c:lineChart>
        <c:ser>
          <c:idx val="0"/>
          <c:order val="0"/>
          <c:tx>
            <c:v>Lý tưởng</c:v>
          </c:tx>
          <c:spPr>
            <a:ln cmpd="sng" w="19050">
              <a:solidFill>
                <a:srgbClr val="4A7EBB">
                  <a:alpha val="100000"/>
                </a:srgbClr>
              </a:solidFill>
            </a:ln>
          </c:spPr>
          <c:marker>
            <c:symbol val="none"/>
          </c:marker>
          <c:cat>
            <c:strRef>
              <c:f>'Sprint backlog 1'!$J$4:$X$4</c:f>
            </c:strRef>
          </c:cat>
          <c:val>
            <c:numRef>
              <c:f>'Sprint backlog 1'!$J$36:$X$36</c:f>
              <c:numCache/>
            </c:numRef>
          </c:val>
          <c:smooth val="1"/>
        </c:ser>
        <c:axId val="2089843217"/>
        <c:axId val="1530135252"/>
      </c:lineChart>
      <c:catAx>
        <c:axId val="2089843217"/>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Ngày</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530135252"/>
      </c:catAx>
      <c:valAx>
        <c:axId val="153013525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Giờ còn lại</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2089843217"/>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Sprint 2</a:t>
            </a:r>
          </a:p>
        </c:rich>
      </c:tx>
      <c:overlay val="0"/>
    </c:title>
    <c:plotArea>
      <c:layout/>
      <c:lineChart>
        <c:ser>
          <c:idx val="0"/>
          <c:order val="0"/>
          <c:tx>
            <c:v>Lý tưởng</c:v>
          </c:tx>
          <c:spPr>
            <a:ln cmpd="sng" w="19050">
              <a:solidFill>
                <a:srgbClr val="4A7EBB">
                  <a:alpha val="100000"/>
                </a:srgbClr>
              </a:solidFill>
            </a:ln>
          </c:spPr>
          <c:marker>
            <c:symbol val="none"/>
          </c:marker>
          <c:cat>
            <c:strRef>
              <c:f>'Sprint backlog 2'!$J$4:$X$4</c:f>
            </c:strRef>
          </c:cat>
          <c:val>
            <c:numRef>
              <c:f>'Sprint backlog 2'!$J$28:$X$28</c:f>
              <c:numCache/>
            </c:numRef>
          </c:val>
          <c:smooth val="1"/>
        </c:ser>
        <c:axId val="2058824379"/>
        <c:axId val="2074000026"/>
      </c:lineChart>
      <c:catAx>
        <c:axId val="2058824379"/>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Ngày</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2074000026"/>
      </c:catAx>
      <c:valAx>
        <c:axId val="207400002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Giờ còn lại</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2058824379"/>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Sprint 3</a:t>
            </a:r>
          </a:p>
        </c:rich>
      </c:tx>
      <c:overlay val="0"/>
    </c:title>
    <c:plotArea>
      <c:layout/>
      <c:lineChart>
        <c:ser>
          <c:idx val="0"/>
          <c:order val="0"/>
          <c:tx>
            <c:v>Lý tưởng</c:v>
          </c:tx>
          <c:spPr>
            <a:ln cmpd="sng" w="19050">
              <a:solidFill>
                <a:srgbClr val="4A7EBB">
                  <a:alpha val="100000"/>
                </a:srgbClr>
              </a:solidFill>
            </a:ln>
          </c:spPr>
          <c:marker>
            <c:symbol val="none"/>
          </c:marker>
          <c:cat>
            <c:strRef>
              <c:f>'Sprint backlog 3'!$J$5:$X$5</c:f>
            </c:strRef>
          </c:cat>
          <c:val>
            <c:numRef>
              <c:f>'Sprint backlog 3'!$J$28:$X$28</c:f>
              <c:numCache/>
            </c:numRef>
          </c:val>
          <c:smooth val="1"/>
        </c:ser>
        <c:axId val="1766049606"/>
        <c:axId val="1431490364"/>
      </c:lineChart>
      <c:catAx>
        <c:axId val="1766049606"/>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Ngày</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431490364"/>
      </c:catAx>
      <c:valAx>
        <c:axId val="143149036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Giờ còn lại</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766049606"/>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37</xdr:row>
      <xdr:rowOff>47625</xdr:rowOff>
    </xdr:from>
    <xdr:ext cx="6143625" cy="32004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29</xdr:row>
      <xdr:rowOff>47625</xdr:rowOff>
    </xdr:from>
    <xdr:ext cx="6143625" cy="32004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29</xdr:row>
      <xdr:rowOff>47625</xdr:rowOff>
    </xdr:from>
    <xdr:ext cx="6143625" cy="320040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hhai04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3" width="24.0"/>
    <col customWidth="1" min="4" max="4" width="18.0"/>
    <col customWidth="1" min="5" max="5" width="14.0"/>
    <col customWidth="1" min="6" max="6" width="34.0"/>
    <col customWidth="1" min="7" max="24" width="8.71"/>
  </cols>
  <sheetData>
    <row r="1">
      <c r="A1" s="2" t="s">
        <v>0</v>
      </c>
    </row>
    <row r="2">
      <c r="A2" s="3" t="s">
        <v>3</v>
      </c>
    </row>
    <row r="3" ht="31.5" customHeight="1">
      <c r="A3" s="4" t="s">
        <v>5</v>
      </c>
      <c r="B3" s="4" t="s">
        <v>7</v>
      </c>
      <c r="C3" s="4" t="s">
        <v>8</v>
      </c>
      <c r="D3" s="4" t="s">
        <v>9</v>
      </c>
      <c r="E3" s="4" t="s">
        <v>11</v>
      </c>
      <c r="F3" s="4" t="s">
        <v>13</v>
      </c>
    </row>
    <row r="4">
      <c r="A4" s="5">
        <v>1.0</v>
      </c>
      <c r="B4" s="7" t="s">
        <v>20</v>
      </c>
      <c r="C4" s="7" t="s">
        <v>22</v>
      </c>
      <c r="D4" s="9" t="s">
        <v>23</v>
      </c>
      <c r="E4" s="8" t="s">
        <v>25</v>
      </c>
      <c r="F4" s="9" t="s">
        <v>27</v>
      </c>
    </row>
    <row r="5">
      <c r="A5" s="5">
        <v>2.0</v>
      </c>
      <c r="B5" s="7" t="s">
        <v>29</v>
      </c>
      <c r="C5" s="12" t="s">
        <v>30</v>
      </c>
      <c r="D5" s="9" t="s">
        <v>48</v>
      </c>
      <c r="E5" s="8" t="s">
        <v>50</v>
      </c>
      <c r="F5" s="9" t="s">
        <v>51</v>
      </c>
    </row>
    <row r="6">
      <c r="A6" s="5">
        <v>3.0</v>
      </c>
      <c r="B6" s="7" t="s">
        <v>53</v>
      </c>
      <c r="C6" s="7" t="s">
        <v>55</v>
      </c>
      <c r="D6" s="9" t="s">
        <v>57</v>
      </c>
      <c r="E6" s="8" t="s">
        <v>58</v>
      </c>
      <c r="F6" s="9" t="s">
        <v>60</v>
      </c>
    </row>
    <row r="7">
      <c r="A7" s="5">
        <v>4.0</v>
      </c>
      <c r="B7" s="7" t="s">
        <v>61</v>
      </c>
      <c r="C7" s="10" t="s">
        <v>64</v>
      </c>
      <c r="D7" s="9" t="s">
        <v>57</v>
      </c>
      <c r="E7" s="8" t="s">
        <v>67</v>
      </c>
      <c r="F7" s="9" t="s">
        <v>69</v>
      </c>
    </row>
    <row r="8">
      <c r="A8" s="5">
        <v>5.0</v>
      </c>
      <c r="B8" s="7" t="s">
        <v>70</v>
      </c>
      <c r="C8" s="7" t="s">
        <v>71</v>
      </c>
      <c r="D8" s="9" t="s">
        <v>57</v>
      </c>
      <c r="E8" s="8" t="s">
        <v>72</v>
      </c>
      <c r="F8" s="9" t="s">
        <v>73</v>
      </c>
    </row>
    <row r="10">
      <c r="A10" s="3"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5"/>
  </hyperlinks>
  <printOptions/>
  <pageMargins bottom="1.0" footer="0.0" header="0.0" left="0.75" right="0.75" top="1.0"/>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2.0"/>
    <col customWidth="1" min="2" max="2" width="46.0"/>
    <col customWidth="1" min="3" max="3" width="12.0"/>
    <col customWidth="1" min="4" max="4" width="11.0"/>
    <col customWidth="1" min="5" max="6" width="13.0"/>
    <col customWidth="1" min="7" max="7" width="12.0"/>
    <col customWidth="1" min="8" max="8" width="90.0"/>
    <col customWidth="1" min="9" max="26" width="8.71"/>
  </cols>
  <sheetData>
    <row r="1">
      <c r="A1" s="1" t="s">
        <v>1</v>
      </c>
    </row>
    <row r="2">
      <c r="A2" s="3" t="s">
        <v>2</v>
      </c>
    </row>
    <row r="3" ht="31.5" customHeight="1">
      <c r="A3" s="4" t="s">
        <v>6</v>
      </c>
      <c r="B3" s="4" t="s">
        <v>12</v>
      </c>
      <c r="C3" s="4" t="s">
        <v>14</v>
      </c>
      <c r="D3" s="4" t="s">
        <v>15</v>
      </c>
      <c r="E3" s="4" t="s">
        <v>16</v>
      </c>
      <c r="F3" s="4" t="s">
        <v>17</v>
      </c>
      <c r="G3" s="4" t="s">
        <v>18</v>
      </c>
      <c r="H3" s="4" t="s">
        <v>19</v>
      </c>
    </row>
    <row r="4" ht="42.0" customHeight="1">
      <c r="A4" s="8" t="s">
        <v>21</v>
      </c>
      <c r="B4" s="9" t="s">
        <v>24</v>
      </c>
      <c r="C4" s="5" t="s">
        <v>26</v>
      </c>
      <c r="D4" s="5" t="s">
        <v>28</v>
      </c>
      <c r="E4" s="11">
        <f>'Sprint planning'!B13</f>
        <v>46321</v>
      </c>
      <c r="F4" s="11">
        <f>'Sprint planning'!C13</f>
        <v>46339</v>
      </c>
      <c r="G4" s="5" t="s">
        <v>68</v>
      </c>
      <c r="H4" s="9" t="str">
        <f>'Sprint Goal'!F5</f>
        <v>Chúng ta tập trung vào gia sư đăng ký, đưa hồ sơ chuyên môn lên hệ thống và được admin kiểm duyệt để hồ sơ hiển thị công khai. Chúng ta tin điều này mang lại một kênh tự giới thiệu năng lực và sự tin cậy nhờ được kiểm duyệt cho gia sư và học viên. Điều này sẽ được xác nhận khi một gia sư thử nghiệm đăng ký, đăng nhập, điền xong hồ sơ; admin duyệt; rồi người chưa đăng nhập mở được trang chi tiết hồ sơ đã duyệt (hồ sơ chưa duyệt trả về 404).</v>
      </c>
    </row>
    <row r="5" ht="42.0" customHeight="1">
      <c r="A5" s="8" t="s">
        <v>21</v>
      </c>
      <c r="B5" s="9" t="s">
        <v>80</v>
      </c>
      <c r="C5" s="5" t="s">
        <v>81</v>
      </c>
      <c r="D5" s="5" t="s">
        <v>28</v>
      </c>
      <c r="E5" s="11">
        <f>'Sprint planning'!B14</f>
        <v>46342</v>
      </c>
      <c r="F5" s="11">
        <f>'Sprint planning'!C14</f>
        <v>46360</v>
      </c>
      <c r="G5" s="5" t="s">
        <v>68</v>
      </c>
      <c r="H5" s="9" t="str">
        <f>'Sprint Goal'!F6</f>
        <v>Chúng ta tập trung vào học viên tìm đúng gia sư theo môn và học phí rồi đặt được buổi học vào khung giờ rảnh của gia sư, và gia sư xác nhận được yêu cầu. Chúng ta tin điều này mang lại lịch học chắc chắn, không trùng giờ và đỡ mất thời gian tìm gia sư cho học viên và gia sư. Điều này sẽ được xác nhận khi một học viên thử lọc theo môn và khoảng giá (≤ 2 giây với 500 hồ sơ mẫu) và đặt một khung giờ; hai học viên cùng đặt một khung giờ thì chỉ một người thành công; gia sư chấp nhận để booking thành "Đã xác nhận" (phát hành V1.0).</v>
      </c>
    </row>
    <row r="6" ht="42.0" customHeight="1">
      <c r="A6" s="8" t="s">
        <v>97</v>
      </c>
      <c r="B6" s="9" t="s">
        <v>98</v>
      </c>
      <c r="C6" s="5" t="s">
        <v>99</v>
      </c>
      <c r="D6" s="5" t="s">
        <v>28</v>
      </c>
      <c r="E6" s="11">
        <f>'Sprint planning'!B15</f>
        <v>46363</v>
      </c>
      <c r="F6" s="11">
        <f>'Sprint planning'!C15</f>
        <v>46381</v>
      </c>
      <c r="G6" s="5" t="s">
        <v>68</v>
      </c>
      <c r="H6" s="9" t="str">
        <f>'Sprint Goal'!F7</f>
        <v>Chúng ta tập trung vào học viên thanh toán online và vào học video ngay trên web, và bản V2.0 sẵn sàng cho người dùng thật. Chúng ta tin điều này mang lại khả năng giữ chỗ buổi học không cần tiền mặt và học không phải cài thêm phần mềm cho học viên và gia sư. Điều này sẽ được xác nhận khi ≥ 5 người dùng thử hoàn thành trọn luồng đăng ký → tìm → đặt → thanh toán  → vào cùng phòng học đúng giờ trên bản chạy HTTPS .</v>
      </c>
    </row>
    <row r="7" ht="68.25" customHeight="1">
      <c r="A7" s="8" t="s">
        <v>100</v>
      </c>
      <c r="B7" s="9" t="s">
        <v>101</v>
      </c>
      <c r="C7" s="5" t="s">
        <v>102</v>
      </c>
      <c r="D7" s="5" t="s">
        <v>103</v>
      </c>
      <c r="E7" s="9"/>
      <c r="F7" s="9"/>
      <c r="G7" s="5" t="s">
        <v>104</v>
      </c>
      <c r="H7" s="9"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4:G7">
      <formula1>"To do,In progress,Done,Backlog"</formula1>
    </dataValidation>
  </dataValidation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8.0"/>
    <col customWidth="1" min="2" max="8" width="28.0"/>
    <col customWidth="1" min="9" max="26" width="8.71"/>
  </cols>
  <sheetData>
    <row r="1">
      <c r="A1" s="1" t="s">
        <v>4</v>
      </c>
    </row>
    <row r="2">
      <c r="A2" s="3"/>
    </row>
    <row r="3">
      <c r="A3" s="6" t="s">
        <v>10</v>
      </c>
      <c r="B3" s="10" t="s">
        <v>31</v>
      </c>
    </row>
    <row r="5" ht="31.5" customHeight="1">
      <c r="A5" s="4" t="s">
        <v>34</v>
      </c>
      <c r="B5" s="4" t="s">
        <v>35</v>
      </c>
      <c r="C5" s="4" t="s">
        <v>36</v>
      </c>
      <c r="D5" s="4" t="s">
        <v>37</v>
      </c>
      <c r="E5" s="4" t="s">
        <v>39</v>
      </c>
      <c r="F5" s="4" t="s">
        <v>40</v>
      </c>
      <c r="G5" s="4" t="s">
        <v>41</v>
      </c>
      <c r="H5" s="4" t="s">
        <v>43</v>
      </c>
    </row>
    <row r="6" ht="247.5" customHeight="1">
      <c r="A6" s="13" t="s">
        <v>46</v>
      </c>
      <c r="B6" s="14" t="s">
        <v>56</v>
      </c>
      <c r="C6" s="14" t="s">
        <v>63</v>
      </c>
      <c r="D6" s="14" t="s">
        <v>66</v>
      </c>
      <c r="E6" s="9"/>
      <c r="F6" s="9"/>
      <c r="G6" s="9"/>
      <c r="H6" s="14" t="s">
        <v>74</v>
      </c>
    </row>
    <row r="7" ht="61.5" customHeight="1">
      <c r="A7" s="13" t="s">
        <v>76</v>
      </c>
      <c r="B7" s="9"/>
      <c r="C7" s="9"/>
      <c r="D7" s="9"/>
      <c r="E7" s="14" t="s">
        <v>77</v>
      </c>
      <c r="F7" s="14" t="s">
        <v>79</v>
      </c>
      <c r="G7" s="9"/>
      <c r="H7" s="14" t="s">
        <v>82</v>
      </c>
    </row>
    <row r="8" ht="123.75" customHeight="1">
      <c r="A8" s="13" t="s">
        <v>83</v>
      </c>
      <c r="B8" s="9"/>
      <c r="C8" s="9"/>
      <c r="D8" s="14" t="s">
        <v>85</v>
      </c>
      <c r="E8" s="15" t="s">
        <v>87</v>
      </c>
      <c r="F8" s="9"/>
      <c r="G8" s="14" t="s">
        <v>91</v>
      </c>
      <c r="H8" s="14" t="s">
        <v>93</v>
      </c>
    </row>
    <row r="10">
      <c r="A10" s="3" t="s">
        <v>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4.0"/>
    <col customWidth="1" min="2" max="2" width="9.0"/>
    <col customWidth="1" min="3" max="3" width="8.0"/>
    <col customWidth="1" min="4" max="4" width="32.0"/>
    <col customWidth="1" min="5" max="5" width="16.0"/>
    <col customWidth="1" min="6" max="7" width="36.0"/>
    <col customWidth="1" min="8" max="8" width="56.0"/>
    <col customWidth="1" min="9" max="9" width="44.0"/>
    <col customWidth="1" min="10" max="10" width="11.0"/>
    <col customWidth="1" min="11" max="11" width="12.0"/>
    <col customWidth="1" min="12" max="12" width="8.0"/>
    <col customWidth="1" min="13" max="14" width="11.0"/>
    <col customWidth="1" min="15" max="26" width="8.71"/>
  </cols>
  <sheetData>
    <row r="1">
      <c r="A1" s="1" t="s">
        <v>32</v>
      </c>
    </row>
    <row r="2">
      <c r="A2" s="3" t="s">
        <v>33</v>
      </c>
    </row>
    <row r="3" ht="31.5" customHeight="1">
      <c r="A3" s="4" t="s">
        <v>38</v>
      </c>
      <c r="B3" s="4" t="s">
        <v>42</v>
      </c>
      <c r="C3" s="4" t="s">
        <v>44</v>
      </c>
      <c r="D3" s="4" t="s">
        <v>45</v>
      </c>
      <c r="E3" s="4" t="s">
        <v>47</v>
      </c>
      <c r="F3" s="4" t="s">
        <v>49</v>
      </c>
      <c r="G3" s="4" t="s">
        <v>52</v>
      </c>
      <c r="H3" s="4" t="s">
        <v>54</v>
      </c>
      <c r="I3" s="4" t="s">
        <v>59</v>
      </c>
      <c r="J3" s="4" t="s">
        <v>62</v>
      </c>
      <c r="K3" s="4" t="s">
        <v>65</v>
      </c>
      <c r="L3" s="4" t="s">
        <v>14</v>
      </c>
      <c r="M3" s="4" t="s">
        <v>18</v>
      </c>
      <c r="N3" s="4" t="s">
        <v>15</v>
      </c>
    </row>
    <row r="4" ht="105.0" customHeight="1">
      <c r="A4" s="9" t="s">
        <v>78</v>
      </c>
      <c r="B4" s="5" t="s">
        <v>84</v>
      </c>
      <c r="C4" s="8" t="s">
        <v>86</v>
      </c>
      <c r="D4" s="9" t="s">
        <v>88</v>
      </c>
      <c r="E4" s="9" t="s">
        <v>89</v>
      </c>
      <c r="F4" s="9" t="s">
        <v>90</v>
      </c>
      <c r="G4" s="9" t="s">
        <v>92</v>
      </c>
      <c r="H4" s="9" t="s">
        <v>94</v>
      </c>
      <c r="I4" s="9" t="s">
        <v>96</v>
      </c>
      <c r="J4" s="16">
        <v>5.0</v>
      </c>
      <c r="K4" s="5">
        <f>J4*'Sprint planning'!$B$3</f>
        <v>20</v>
      </c>
      <c r="L4" s="16">
        <v>1.0</v>
      </c>
      <c r="M4" s="5" t="s">
        <v>68</v>
      </c>
      <c r="N4" s="5" t="s">
        <v>28</v>
      </c>
    </row>
    <row r="5" ht="105.0" customHeight="1">
      <c r="A5" s="9" t="s">
        <v>78</v>
      </c>
      <c r="B5" s="5" t="s">
        <v>84</v>
      </c>
      <c r="C5" s="8" t="s">
        <v>106</v>
      </c>
      <c r="D5" s="9" t="s">
        <v>107</v>
      </c>
      <c r="E5" s="9" t="s">
        <v>108</v>
      </c>
      <c r="F5" s="9" t="s">
        <v>109</v>
      </c>
      <c r="G5" s="9" t="s">
        <v>110</v>
      </c>
      <c r="H5" s="9" t="s">
        <v>111</v>
      </c>
      <c r="I5" s="9" t="s">
        <v>112</v>
      </c>
      <c r="J5" s="16">
        <v>5.0</v>
      </c>
      <c r="K5" s="5">
        <f>J5*'Sprint planning'!$B$3</f>
        <v>20</v>
      </c>
      <c r="L5" s="16">
        <v>1.0</v>
      </c>
      <c r="M5" s="5" t="s">
        <v>68</v>
      </c>
      <c r="N5" s="5" t="s">
        <v>28</v>
      </c>
    </row>
    <row r="6" ht="105.0" customHeight="1">
      <c r="A6" s="9" t="s">
        <v>78</v>
      </c>
      <c r="B6" s="5" t="s">
        <v>84</v>
      </c>
      <c r="C6" s="8" t="s">
        <v>113</v>
      </c>
      <c r="D6" s="9" t="s">
        <v>114</v>
      </c>
      <c r="E6" s="9" t="s">
        <v>115</v>
      </c>
      <c r="F6" s="17" t="s">
        <v>116</v>
      </c>
      <c r="G6" s="9" t="s">
        <v>117</v>
      </c>
      <c r="H6" s="9" t="s">
        <v>118</v>
      </c>
      <c r="I6" s="9" t="s">
        <v>119</v>
      </c>
      <c r="J6" s="16">
        <v>8.0</v>
      </c>
      <c r="K6" s="5">
        <f>J6*'Sprint planning'!$B$3</f>
        <v>32</v>
      </c>
      <c r="L6" s="16">
        <v>1.0</v>
      </c>
      <c r="M6" s="5" t="s">
        <v>68</v>
      </c>
      <c r="N6" s="5" t="s">
        <v>28</v>
      </c>
    </row>
    <row r="7" ht="105.0" customHeight="1">
      <c r="A7" s="9" t="s">
        <v>120</v>
      </c>
      <c r="B7" s="5" t="s">
        <v>121</v>
      </c>
      <c r="C7" s="8" t="s">
        <v>122</v>
      </c>
      <c r="D7" s="9" t="s">
        <v>123</v>
      </c>
      <c r="E7" s="9" t="s">
        <v>108</v>
      </c>
      <c r="F7" s="9" t="s">
        <v>124</v>
      </c>
      <c r="G7" s="9" t="s">
        <v>125</v>
      </c>
      <c r="H7" s="9" t="s">
        <v>126</v>
      </c>
      <c r="I7" s="9" t="s">
        <v>127</v>
      </c>
      <c r="J7" s="16">
        <v>5.0</v>
      </c>
      <c r="K7" s="5">
        <f>J7*'Sprint planning'!$B$3</f>
        <v>20</v>
      </c>
      <c r="L7" s="16">
        <v>1.0</v>
      </c>
      <c r="M7" s="5" t="s">
        <v>68</v>
      </c>
      <c r="N7" s="5" t="s">
        <v>28</v>
      </c>
    </row>
    <row r="8" ht="105.0" customHeight="1">
      <c r="A8" s="9" t="s">
        <v>78</v>
      </c>
      <c r="B8" s="5" t="s">
        <v>84</v>
      </c>
      <c r="C8" s="8" t="s">
        <v>130</v>
      </c>
      <c r="D8" s="9" t="s">
        <v>131</v>
      </c>
      <c r="E8" s="9" t="s">
        <v>133</v>
      </c>
      <c r="F8" s="9" t="s">
        <v>134</v>
      </c>
      <c r="G8" s="9" t="s">
        <v>135</v>
      </c>
      <c r="H8" s="9" t="s">
        <v>136</v>
      </c>
      <c r="I8" s="9" t="s">
        <v>137</v>
      </c>
      <c r="J8" s="16">
        <v>5.0</v>
      </c>
      <c r="K8" s="5">
        <f>J8*'Sprint planning'!$B$3</f>
        <v>20</v>
      </c>
      <c r="L8" s="16">
        <v>1.0</v>
      </c>
      <c r="M8" s="5" t="s">
        <v>68</v>
      </c>
      <c r="N8" s="5" t="s">
        <v>28</v>
      </c>
    </row>
    <row r="9" ht="105.0" customHeight="1">
      <c r="A9" s="9" t="s">
        <v>142</v>
      </c>
      <c r="B9" s="5" t="s">
        <v>84</v>
      </c>
      <c r="C9" s="8" t="s">
        <v>144</v>
      </c>
      <c r="D9" s="9" t="s">
        <v>146</v>
      </c>
      <c r="E9" s="9" t="s">
        <v>147</v>
      </c>
      <c r="F9" s="9" t="s">
        <v>148</v>
      </c>
      <c r="G9" s="9" t="s">
        <v>149</v>
      </c>
      <c r="H9" s="9" t="s">
        <v>150</v>
      </c>
      <c r="I9" s="9" t="s">
        <v>151</v>
      </c>
      <c r="J9" s="16">
        <v>3.0</v>
      </c>
      <c r="K9" s="5">
        <f>J9*'Sprint planning'!$B$3</f>
        <v>12</v>
      </c>
      <c r="L9" s="16">
        <v>1.0</v>
      </c>
      <c r="M9" s="5" t="s">
        <v>68</v>
      </c>
      <c r="N9" s="5" t="s">
        <v>156</v>
      </c>
    </row>
    <row r="10" ht="105.0" customHeight="1">
      <c r="A10" s="9" t="s">
        <v>142</v>
      </c>
      <c r="B10" s="5" t="s">
        <v>84</v>
      </c>
      <c r="C10" s="8" t="s">
        <v>164</v>
      </c>
      <c r="D10" s="9" t="s">
        <v>168</v>
      </c>
      <c r="E10" s="9" t="s">
        <v>147</v>
      </c>
      <c r="F10" s="17" t="s">
        <v>170</v>
      </c>
      <c r="G10" s="9" t="s">
        <v>173</v>
      </c>
      <c r="H10" s="9" t="s">
        <v>177</v>
      </c>
      <c r="I10" s="9" t="s">
        <v>179</v>
      </c>
      <c r="J10" s="16">
        <v>8.0</v>
      </c>
      <c r="K10" s="5">
        <f>J10*'Sprint planning'!$B$3</f>
        <v>32</v>
      </c>
      <c r="L10" s="16">
        <v>2.0</v>
      </c>
      <c r="M10" s="5" t="s">
        <v>68</v>
      </c>
      <c r="N10" s="5" t="s">
        <v>28</v>
      </c>
    </row>
    <row r="11" ht="105.0" customHeight="1">
      <c r="A11" s="9" t="s">
        <v>184</v>
      </c>
      <c r="B11" s="5" t="s">
        <v>84</v>
      </c>
      <c r="C11" s="8" t="s">
        <v>186</v>
      </c>
      <c r="D11" s="9" t="s">
        <v>187</v>
      </c>
      <c r="E11" s="9" t="s">
        <v>115</v>
      </c>
      <c r="F11" s="17" t="s">
        <v>190</v>
      </c>
      <c r="G11" s="9" t="s">
        <v>192</v>
      </c>
      <c r="H11" s="9" t="s">
        <v>196</v>
      </c>
      <c r="I11" s="9" t="s">
        <v>198</v>
      </c>
      <c r="J11" s="16">
        <v>8.0</v>
      </c>
      <c r="K11" s="5">
        <f>J11*'Sprint planning'!$B$3</f>
        <v>32</v>
      </c>
      <c r="L11" s="16">
        <v>2.0</v>
      </c>
      <c r="M11" s="5" t="s">
        <v>68</v>
      </c>
      <c r="N11" s="5" t="s">
        <v>28</v>
      </c>
    </row>
    <row r="12" ht="105.0" customHeight="1">
      <c r="A12" s="9" t="s">
        <v>184</v>
      </c>
      <c r="B12" s="5" t="s">
        <v>84</v>
      </c>
      <c r="C12" s="8" t="s">
        <v>207</v>
      </c>
      <c r="D12" s="9" t="s">
        <v>208</v>
      </c>
      <c r="E12" s="9" t="s">
        <v>147</v>
      </c>
      <c r="F12" s="17" t="s">
        <v>209</v>
      </c>
      <c r="G12" s="9" t="s">
        <v>210</v>
      </c>
      <c r="H12" s="9" t="s">
        <v>211</v>
      </c>
      <c r="I12" s="9" t="s">
        <v>212</v>
      </c>
      <c r="J12" s="16">
        <v>8.0</v>
      </c>
      <c r="K12" s="5">
        <f>J12*'Sprint planning'!$B$3</f>
        <v>32</v>
      </c>
      <c r="L12" s="16">
        <v>2.0</v>
      </c>
      <c r="M12" s="5" t="s">
        <v>68</v>
      </c>
      <c r="N12" s="5" t="s">
        <v>28</v>
      </c>
    </row>
    <row r="13" ht="105.0" customHeight="1">
      <c r="A13" s="9" t="s">
        <v>184</v>
      </c>
      <c r="B13" s="5" t="s">
        <v>84</v>
      </c>
      <c r="C13" s="8" t="s">
        <v>214</v>
      </c>
      <c r="D13" s="9" t="s">
        <v>215</v>
      </c>
      <c r="E13" s="9" t="s">
        <v>115</v>
      </c>
      <c r="F13" s="9" t="s">
        <v>216</v>
      </c>
      <c r="G13" s="9" t="s">
        <v>217</v>
      </c>
      <c r="H13" s="9" t="s">
        <v>218</v>
      </c>
      <c r="I13" s="9" t="s">
        <v>219</v>
      </c>
      <c r="J13" s="16">
        <v>5.0</v>
      </c>
      <c r="K13" s="5">
        <f>J13*'Sprint planning'!$B$3</f>
        <v>20</v>
      </c>
      <c r="L13" s="16">
        <v>2.0</v>
      </c>
      <c r="M13" s="5" t="s">
        <v>68</v>
      </c>
      <c r="N13" s="5" t="s">
        <v>28</v>
      </c>
    </row>
    <row r="14" ht="105.0" customHeight="1">
      <c r="A14" s="9" t="s">
        <v>221</v>
      </c>
      <c r="B14" s="5" t="s">
        <v>84</v>
      </c>
      <c r="C14" s="8" t="s">
        <v>222</v>
      </c>
      <c r="D14" s="9" t="s">
        <v>223</v>
      </c>
      <c r="E14" s="9" t="s">
        <v>147</v>
      </c>
      <c r="F14" s="17" t="s">
        <v>224</v>
      </c>
      <c r="G14" s="9" t="s">
        <v>225</v>
      </c>
      <c r="H14" s="9" t="s">
        <v>227</v>
      </c>
      <c r="I14" s="9" t="s">
        <v>228</v>
      </c>
      <c r="J14" s="16">
        <v>13.0</v>
      </c>
      <c r="K14" s="5">
        <f>J14*'Sprint planning'!$B$3</f>
        <v>52</v>
      </c>
      <c r="L14" s="16">
        <v>3.0</v>
      </c>
      <c r="M14" s="5" t="s">
        <v>68</v>
      </c>
      <c r="N14" s="5" t="s">
        <v>28</v>
      </c>
    </row>
    <row r="15" ht="105.0" customHeight="1">
      <c r="A15" s="9" t="s">
        <v>229</v>
      </c>
      <c r="B15" s="5" t="s">
        <v>84</v>
      </c>
      <c r="C15" s="8" t="s">
        <v>231</v>
      </c>
      <c r="D15" s="9" t="s">
        <v>233</v>
      </c>
      <c r="E15" s="9" t="s">
        <v>89</v>
      </c>
      <c r="F15" s="9" t="s">
        <v>236</v>
      </c>
      <c r="G15" s="9" t="s">
        <v>238</v>
      </c>
      <c r="H15" s="9" t="s">
        <v>239</v>
      </c>
      <c r="I15" s="9" t="s">
        <v>240</v>
      </c>
      <c r="J15" s="16">
        <v>8.0</v>
      </c>
      <c r="K15" s="5">
        <f>J15*'Sprint planning'!$B$3</f>
        <v>32</v>
      </c>
      <c r="L15" s="16">
        <v>3.0</v>
      </c>
      <c r="M15" s="5" t="s">
        <v>68</v>
      </c>
      <c r="N15" s="5" t="s">
        <v>28</v>
      </c>
    </row>
    <row r="16" ht="105.0" customHeight="1">
      <c r="A16" s="9" t="s">
        <v>120</v>
      </c>
      <c r="B16" s="5" t="s">
        <v>121</v>
      </c>
      <c r="C16" s="8" t="s">
        <v>241</v>
      </c>
      <c r="D16" s="9" t="s">
        <v>242</v>
      </c>
      <c r="E16" s="9" t="s">
        <v>243</v>
      </c>
      <c r="F16" s="9" t="s">
        <v>244</v>
      </c>
      <c r="G16" s="9" t="s">
        <v>245</v>
      </c>
      <c r="H16" s="9" t="s">
        <v>246</v>
      </c>
      <c r="I16" s="9" t="s">
        <v>247</v>
      </c>
      <c r="J16" s="16">
        <v>8.0</v>
      </c>
      <c r="K16" s="5">
        <f>J16*'Sprint planning'!$B$3</f>
        <v>32</v>
      </c>
      <c r="L16" s="16">
        <v>3.0</v>
      </c>
      <c r="M16" s="5" t="s">
        <v>68</v>
      </c>
      <c r="N16" s="5" t="s">
        <v>28</v>
      </c>
    </row>
    <row r="17" ht="105.0" customHeight="1">
      <c r="A17" s="9" t="s">
        <v>184</v>
      </c>
      <c r="B17" s="5" t="s">
        <v>84</v>
      </c>
      <c r="C17" s="8" t="s">
        <v>248</v>
      </c>
      <c r="D17" s="9" t="s">
        <v>249</v>
      </c>
      <c r="E17" s="9" t="s">
        <v>147</v>
      </c>
      <c r="F17" s="9" t="s">
        <v>250</v>
      </c>
      <c r="G17" s="9" t="s">
        <v>251</v>
      </c>
      <c r="H17" s="9" t="s">
        <v>252</v>
      </c>
      <c r="I17" s="9" t="s">
        <v>253</v>
      </c>
      <c r="J17" s="16">
        <v>5.0</v>
      </c>
      <c r="K17" s="5">
        <f>J17*'Sprint planning'!$B$3</f>
        <v>20</v>
      </c>
      <c r="L17" s="16" t="s">
        <v>100</v>
      </c>
      <c r="M17" s="5" t="s">
        <v>104</v>
      </c>
      <c r="N17" s="5" t="s">
        <v>156</v>
      </c>
    </row>
    <row r="18" ht="105.0" customHeight="1">
      <c r="A18" s="9" t="s">
        <v>184</v>
      </c>
      <c r="B18" s="5" t="s">
        <v>84</v>
      </c>
      <c r="C18" s="8" t="s">
        <v>255</v>
      </c>
      <c r="D18" s="9" t="s">
        <v>256</v>
      </c>
      <c r="E18" s="9" t="s">
        <v>89</v>
      </c>
      <c r="F18" s="9" t="s">
        <v>258</v>
      </c>
      <c r="G18" s="9" t="s">
        <v>259</v>
      </c>
      <c r="H18" s="9" t="s">
        <v>263</v>
      </c>
      <c r="I18" s="9" t="s">
        <v>264</v>
      </c>
      <c r="J18" s="16">
        <v>5.0</v>
      </c>
      <c r="K18" s="5">
        <f>J18*'Sprint planning'!$B$3</f>
        <v>20</v>
      </c>
      <c r="L18" s="16" t="s">
        <v>100</v>
      </c>
      <c r="M18" s="5" t="s">
        <v>104</v>
      </c>
      <c r="N18" s="5" t="s">
        <v>156</v>
      </c>
    </row>
    <row r="19" ht="105.0" customHeight="1">
      <c r="A19" s="9" t="s">
        <v>221</v>
      </c>
      <c r="B19" s="5" t="s">
        <v>84</v>
      </c>
      <c r="C19" s="8" t="s">
        <v>281</v>
      </c>
      <c r="D19" s="9" t="s">
        <v>284</v>
      </c>
      <c r="E19" s="9" t="s">
        <v>147</v>
      </c>
      <c r="F19" s="9" t="s">
        <v>285</v>
      </c>
      <c r="G19" s="9" t="s">
        <v>286</v>
      </c>
      <c r="H19" s="9" t="s">
        <v>287</v>
      </c>
      <c r="I19" s="9" t="s">
        <v>288</v>
      </c>
      <c r="J19" s="16">
        <v>5.0</v>
      </c>
      <c r="K19" s="5">
        <f>J19*'Sprint planning'!$B$3</f>
        <v>20</v>
      </c>
      <c r="L19" s="16" t="s">
        <v>100</v>
      </c>
      <c r="M19" s="5" t="s">
        <v>104</v>
      </c>
      <c r="N19" s="5" t="s">
        <v>156</v>
      </c>
    </row>
    <row r="20" ht="105.0" customHeight="1">
      <c r="A20" s="9" t="s">
        <v>290</v>
      </c>
      <c r="B20" s="5" t="s">
        <v>84</v>
      </c>
      <c r="C20" s="8" t="s">
        <v>291</v>
      </c>
      <c r="D20" s="9" t="s">
        <v>292</v>
      </c>
      <c r="E20" s="9" t="s">
        <v>147</v>
      </c>
      <c r="F20" s="9" t="s">
        <v>293</v>
      </c>
      <c r="G20" s="9" t="s">
        <v>294</v>
      </c>
      <c r="H20" s="9" t="s">
        <v>295</v>
      </c>
      <c r="I20" s="9" t="s">
        <v>296</v>
      </c>
      <c r="J20" s="16">
        <v>3.0</v>
      </c>
      <c r="K20" s="5">
        <f>J20*'Sprint planning'!$B$3</f>
        <v>12</v>
      </c>
      <c r="L20" s="16" t="s">
        <v>100</v>
      </c>
      <c r="M20" s="5" t="s">
        <v>104</v>
      </c>
      <c r="N20" s="5" t="s">
        <v>156</v>
      </c>
    </row>
    <row r="21" ht="105.0" customHeight="1">
      <c r="A21" s="9" t="s">
        <v>290</v>
      </c>
      <c r="B21" s="5" t="s">
        <v>84</v>
      </c>
      <c r="C21" s="8" t="s">
        <v>297</v>
      </c>
      <c r="D21" s="9" t="s">
        <v>298</v>
      </c>
      <c r="E21" s="9" t="s">
        <v>108</v>
      </c>
      <c r="F21" s="9" t="s">
        <v>299</v>
      </c>
      <c r="G21" s="9" t="s">
        <v>300</v>
      </c>
      <c r="H21" s="9" t="s">
        <v>301</v>
      </c>
      <c r="I21" s="9" t="s">
        <v>302</v>
      </c>
      <c r="J21" s="16">
        <v>5.0</v>
      </c>
      <c r="K21" s="5">
        <f>J21*'Sprint planning'!$B$3</f>
        <v>20</v>
      </c>
      <c r="L21" s="16" t="s">
        <v>100</v>
      </c>
      <c r="M21" s="5" t="s">
        <v>104</v>
      </c>
      <c r="N21" s="5" t="s">
        <v>156</v>
      </c>
    </row>
    <row r="22" ht="105.0" customHeight="1">
      <c r="A22" s="9" t="s">
        <v>303</v>
      </c>
      <c r="B22" s="5" t="s">
        <v>84</v>
      </c>
      <c r="C22" s="8" t="s">
        <v>304</v>
      </c>
      <c r="D22" s="9" t="s">
        <v>305</v>
      </c>
      <c r="E22" s="9" t="s">
        <v>133</v>
      </c>
      <c r="F22" s="9" t="s">
        <v>306</v>
      </c>
      <c r="G22" s="9" t="s">
        <v>307</v>
      </c>
      <c r="H22" s="9" t="s">
        <v>308</v>
      </c>
      <c r="I22" s="9" t="s">
        <v>309</v>
      </c>
      <c r="J22" s="16">
        <v>5.0</v>
      </c>
      <c r="K22" s="5">
        <f>J22*'Sprint planning'!$B$3</f>
        <v>20</v>
      </c>
      <c r="L22" s="16" t="s">
        <v>100</v>
      </c>
      <c r="M22" s="5" t="s">
        <v>104</v>
      </c>
      <c r="N22" s="5" t="s">
        <v>156</v>
      </c>
    </row>
    <row r="23" ht="105.0" customHeight="1">
      <c r="A23" s="9" t="s">
        <v>303</v>
      </c>
      <c r="B23" s="5" t="s">
        <v>84</v>
      </c>
      <c r="C23" s="8" t="s">
        <v>310</v>
      </c>
      <c r="D23" s="9" t="s">
        <v>311</v>
      </c>
      <c r="E23" s="9" t="s">
        <v>133</v>
      </c>
      <c r="F23" s="9" t="s">
        <v>312</v>
      </c>
      <c r="G23" s="9" t="s">
        <v>313</v>
      </c>
      <c r="H23" s="9" t="s">
        <v>314</v>
      </c>
      <c r="I23" s="9" t="s">
        <v>315</v>
      </c>
      <c r="J23" s="16">
        <v>5.0</v>
      </c>
      <c r="K23" s="5">
        <f>J23*'Sprint planning'!$B$3</f>
        <v>20</v>
      </c>
      <c r="L23" s="16" t="s">
        <v>100</v>
      </c>
      <c r="M23" s="5" t="s">
        <v>104</v>
      </c>
      <c r="N23" s="5" t="s">
        <v>103</v>
      </c>
    </row>
    <row r="24" ht="15.75" customHeight="1">
      <c r="I24" s="27" t="s">
        <v>317</v>
      </c>
      <c r="J24" s="27">
        <f t="shared" ref="J24:K24" si="1">SUM(J4:J23)</f>
        <v>122</v>
      </c>
      <c r="K24" s="27">
        <f t="shared" si="1"/>
        <v>488</v>
      </c>
    </row>
    <row r="25" ht="15.75" customHeight="1">
      <c r="I25" s="27" t="s">
        <v>322</v>
      </c>
      <c r="J25" s="27">
        <f>SUMIF(L4:L23,"&gt;=1",J4:J23)</f>
        <v>89</v>
      </c>
      <c r="K25" s="27">
        <f>SUMIF(L4:L23,"&gt;=1",K4:K23)</f>
        <v>356</v>
      </c>
    </row>
    <row r="26" ht="15.75" customHeight="1"/>
    <row r="27" ht="15.75" customHeight="1">
      <c r="A27" s="3" t="s">
        <v>330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25"/>
  <dataValidations>
    <dataValidation type="list" allowBlank="1" sqref="M4:M23">
      <formula1>"To do,In progress,Done,Backlog"</formula1>
    </dataValidation>
    <dataValidation type="list" allowBlank="1" sqref="N4:N23">
      <formula1>"Cao,Trung bình,Thấp"</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4.0"/>
    <col customWidth="1" min="2" max="3" width="13.0"/>
    <col customWidth="1" min="4" max="4" width="12.0"/>
    <col customWidth="1" min="5" max="5" width="64.0"/>
    <col customWidth="1" min="6" max="6" width="10.0"/>
    <col customWidth="1" min="7" max="7" width="52.0"/>
    <col customWidth="1" min="8" max="8" width="10.0"/>
    <col customWidth="1" min="9" max="10" width="13.0"/>
    <col customWidth="1" min="11" max="11" width="28.0"/>
    <col customWidth="1" min="12" max="26" width="8.71"/>
  </cols>
  <sheetData>
    <row r="1">
      <c r="A1" s="1" t="s">
        <v>128</v>
      </c>
    </row>
    <row r="2">
      <c r="A2" s="3" t="s">
        <v>129</v>
      </c>
    </row>
    <row r="3" ht="15.0" customHeight="1">
      <c r="A3" s="6" t="s">
        <v>132</v>
      </c>
      <c r="B3" s="18">
        <v>4.0</v>
      </c>
      <c r="C3" s="19"/>
      <c r="D3" s="20"/>
      <c r="E3" s="20"/>
    </row>
    <row r="4" ht="15.0" customHeight="1">
      <c r="A4" s="6" t="s">
        <v>138</v>
      </c>
      <c r="B4" s="18">
        <v>5.0</v>
      </c>
      <c r="C4" s="19"/>
      <c r="D4" s="20"/>
      <c r="E4" s="20"/>
    </row>
    <row r="5" ht="15.0" customHeight="1">
      <c r="A5" s="6" t="s">
        <v>139</v>
      </c>
      <c r="B5" s="18">
        <v>12.0</v>
      </c>
      <c r="C5" s="19"/>
      <c r="D5" s="20"/>
      <c r="E5" s="20"/>
    </row>
    <row r="6" ht="15.0" customHeight="1">
      <c r="A6" s="6" t="s">
        <v>140</v>
      </c>
      <c r="B6" s="18">
        <v>3.0</v>
      </c>
      <c r="C6" s="19"/>
      <c r="D6" s="20"/>
      <c r="E6" s="20"/>
    </row>
    <row r="7" ht="15.0" customHeight="1">
      <c r="A7" s="6" t="s">
        <v>141</v>
      </c>
      <c r="B7" s="18">
        <v>8.25</v>
      </c>
      <c r="C7" s="19"/>
      <c r="D7" s="20"/>
      <c r="E7" s="20"/>
    </row>
    <row r="8" ht="15.0" customHeight="1">
      <c r="A8" s="6" t="s">
        <v>143</v>
      </c>
      <c r="B8" s="21">
        <v>46388.0</v>
      </c>
      <c r="C8" s="19"/>
      <c r="D8" s="20"/>
      <c r="E8" s="20"/>
    </row>
    <row r="9" ht="1.5" customHeight="1">
      <c r="A9" s="6" t="s">
        <v>145</v>
      </c>
      <c r="B9" s="8">
        <f>B4*(B5*B6-B7)</f>
        <v>138.75</v>
      </c>
      <c r="C9" s="19" t="s">
        <v>152</v>
      </c>
      <c r="D9" s="20"/>
      <c r="E9" s="20"/>
    </row>
    <row r="11">
      <c r="A11" s="22" t="s">
        <v>153</v>
      </c>
    </row>
    <row r="12" ht="31.5" customHeight="1">
      <c r="A12" s="4" t="s">
        <v>14</v>
      </c>
      <c r="B12" s="4" t="s">
        <v>155</v>
      </c>
      <c r="C12" s="4" t="s">
        <v>157</v>
      </c>
      <c r="D12" s="4" t="s">
        <v>158</v>
      </c>
      <c r="E12" s="4" t="s">
        <v>159</v>
      </c>
      <c r="F12" s="4" t="s">
        <v>160</v>
      </c>
      <c r="G12" s="4" t="s">
        <v>161</v>
      </c>
      <c r="H12" s="4" t="s">
        <v>162</v>
      </c>
      <c r="I12" s="4" t="s">
        <v>163</v>
      </c>
      <c r="J12" s="4" t="s">
        <v>166</v>
      </c>
      <c r="K12" s="4" t="s">
        <v>167</v>
      </c>
    </row>
    <row r="13" ht="96.0" customHeight="1">
      <c r="A13" s="8" t="s">
        <v>169</v>
      </c>
      <c r="B13" s="21">
        <v>46321.0</v>
      </c>
      <c r="C13" s="21">
        <v>46339.0</v>
      </c>
      <c r="D13" s="5">
        <f t="shared" ref="D13:D15" si="1">NETWORKDAYS(B13,C13,$B$8)</f>
        <v>15</v>
      </c>
      <c r="E13" s="9" t="str">
        <f>'Sprint Goal'!F5</f>
        <v>Chúng ta tập trung vào gia sư đăng ký, đưa hồ sơ chuyên môn lên hệ thống và được admin kiểm duyệt để hồ sơ hiển thị công khai. Chúng ta tin điều này mang lại một kênh tự giới thiệu năng lực và sự tin cậy nhờ được kiểm duyệt cho gia sư và học viên. Điều này sẽ được xác nhận khi một gia sư thử nghiệm đăng ký, đăng nhập, điền xong hồ sơ; admin duyệt; rồi người chưa đăng nhập mở được trang chi tiết hồ sơ đã duyệt (hồ sơ chưa duyệt trả về 404).</v>
      </c>
      <c r="F13" s="5" t="s">
        <v>21</v>
      </c>
      <c r="G13" s="17" t="s">
        <v>185</v>
      </c>
      <c r="H13" s="5">
        <f>SUMIF('Product Backlog'!$L$4:$L$23,1,'Product Backlog'!$J$4:$J$23)</f>
        <v>31</v>
      </c>
      <c r="I13" s="5">
        <f t="shared" ref="I13:I15" si="2">H13*$B$3</f>
        <v>124</v>
      </c>
      <c r="J13" s="24">
        <f t="shared" ref="J13:J15" si="3">I13/$B$9</f>
        <v>0.8936936937</v>
      </c>
      <c r="K13" s="5">
        <f>SUMIF(US_Task!$H:$H,1,US_Task!$F:$F)</f>
        <v>124</v>
      </c>
    </row>
    <row r="14" ht="96.0" customHeight="1">
      <c r="A14" s="8" t="s">
        <v>191</v>
      </c>
      <c r="B14" s="21">
        <v>46342.0</v>
      </c>
      <c r="C14" s="21">
        <v>46360.0</v>
      </c>
      <c r="D14" s="5">
        <f t="shared" si="1"/>
        <v>15</v>
      </c>
      <c r="E14" s="9" t="str">
        <f>'Sprint Goal'!F6</f>
        <v>Chúng ta tập trung vào học viên tìm đúng gia sư theo môn và học phí rồi đặt được buổi học vào khung giờ rảnh của gia sư, và gia sư xác nhận được yêu cầu. Chúng ta tin điều này mang lại lịch học chắc chắn, không trùng giờ và đỡ mất thời gian tìm gia sư cho học viên và gia sư. Điều này sẽ được xác nhận khi một học viên thử lọc theo môn và khoảng giá (≤ 2 giây với 500 hồ sơ mẫu) và đặt một khung giờ; hai học viên cùng đặt một khung giờ thì chỉ một người thành công; gia sư chấp nhận để booking thành "Đã xác nhận" (phát hành V1.0).</v>
      </c>
      <c r="F14" s="5" t="s">
        <v>21</v>
      </c>
      <c r="G14" s="9" t="s">
        <v>213</v>
      </c>
      <c r="H14" s="5">
        <f>SUMIF('Product Backlog'!$L$4:$L$23,2,'Product Backlog'!$J$4:$J$23)</f>
        <v>29</v>
      </c>
      <c r="I14" s="5">
        <f t="shared" si="2"/>
        <v>116</v>
      </c>
      <c r="J14" s="24">
        <f t="shared" si="3"/>
        <v>0.836036036</v>
      </c>
      <c r="K14" s="5">
        <f>SUMIF(US_Task!$H:$H,2,US_Task!$F:$F)</f>
        <v>116</v>
      </c>
    </row>
    <row r="15" ht="96.0" customHeight="1">
      <c r="A15" s="8" t="s">
        <v>201</v>
      </c>
      <c r="B15" s="21">
        <v>46363.0</v>
      </c>
      <c r="C15" s="21">
        <v>46381.0</v>
      </c>
      <c r="D15" s="5">
        <f t="shared" si="1"/>
        <v>15</v>
      </c>
      <c r="E15" s="9" t="str">
        <f>'Sprint Goal'!F7</f>
        <v>Chúng ta tập trung vào học viên thanh toán online và vào học video ngay trên web, và bản V2.0 sẵn sàng cho người dùng thật. Chúng ta tin điều này mang lại khả năng giữ chỗ buổi học không cần tiền mặt và học không phải cài thêm phần mềm cho học viên và gia sư. Điều này sẽ được xác nhận khi ≥ 5 người dùng thử hoàn thành trọn luồng đăng ký → tìm → đặt → thanh toán  → vào cùng phòng học đúng giờ trên bản chạy HTTPS .</v>
      </c>
      <c r="F15" s="5" t="s">
        <v>97</v>
      </c>
      <c r="G15" s="9" t="s">
        <v>220</v>
      </c>
      <c r="H15" s="5">
        <f>SUMIF('Product Backlog'!$L$4:$L$23,3,'Product Backlog'!$J$4:$J$23)</f>
        <v>29</v>
      </c>
      <c r="I15" s="5">
        <f t="shared" si="2"/>
        <v>116</v>
      </c>
      <c r="J15" s="24">
        <f t="shared" si="3"/>
        <v>0.836036036</v>
      </c>
      <c r="K15" s="5">
        <f>SUMIF(US_Task!$H:$H,3,US_Task!$F:$F)</f>
        <v>116</v>
      </c>
    </row>
    <row r="16" ht="36.0" customHeight="1">
      <c r="G16" s="27" t="s">
        <v>226</v>
      </c>
      <c r="H16" s="27">
        <f t="shared" ref="H16:I16" si="4">SUM(H13:H15)</f>
        <v>89</v>
      </c>
      <c r="I16" s="27">
        <f t="shared" si="4"/>
        <v>356</v>
      </c>
      <c r="J16" s="28">
        <f>I16/(B9*3)</f>
        <v>0.8552552553</v>
      </c>
      <c r="K16" s="27" t="str">
        <f>IF(SUM(K13:K15)=I16,"OK: giờ task khớp Story Point","LỆCH: kiểm tra US_Task")</f>
        <v>OK: giờ task khớp Story Point</v>
      </c>
    </row>
    <row r="18">
      <c r="A18" s="6" t="s">
        <v>230</v>
      </c>
    </row>
    <row r="19">
      <c r="A19" s="26" t="s">
        <v>232</v>
      </c>
    </row>
    <row r="20">
      <c r="A20" s="26" t="s">
        <v>234</v>
      </c>
    </row>
    <row r="21" ht="15.75" customHeight="1">
      <c r="A21" s="26" t="s">
        <v>235</v>
      </c>
    </row>
    <row r="22" ht="15.75" customHeight="1">
      <c r="A22" s="26" t="s">
        <v>237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E3"/>
    <mergeCell ref="C4:E4"/>
    <mergeCell ref="C5:E5"/>
    <mergeCell ref="C6:E6"/>
    <mergeCell ref="C7:E7"/>
    <mergeCell ref="C8:E8"/>
    <mergeCell ref="C9:E9"/>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0"/>
    <col customWidth="1" min="2" max="2" width="46.0"/>
    <col customWidth="1" min="3" max="3" width="40.0"/>
    <col customWidth="1" min="4" max="4" width="22.0"/>
    <col customWidth="1" min="5" max="5" width="56.0"/>
    <col customWidth="1" min="6" max="6" width="70.0"/>
    <col customWidth="1" min="7" max="8" width="42.0"/>
    <col customWidth="1" min="9" max="26" width="8.71"/>
  </cols>
  <sheetData>
    <row r="1">
      <c r="A1" s="2" t="s">
        <v>154</v>
      </c>
    </row>
    <row r="2">
      <c r="A2" s="3"/>
    </row>
    <row r="3">
      <c r="A3" s="22"/>
    </row>
    <row r="4" ht="31.5" customHeight="1">
      <c r="A4" s="4" t="s">
        <v>14</v>
      </c>
      <c r="B4" s="23" t="s">
        <v>165</v>
      </c>
      <c r="C4" s="23" t="s">
        <v>171</v>
      </c>
      <c r="D4" s="23" t="s">
        <v>172</v>
      </c>
      <c r="E4" s="23" t="s">
        <v>174</v>
      </c>
      <c r="F4" s="23" t="s">
        <v>175</v>
      </c>
      <c r="G4" s="23" t="s">
        <v>176</v>
      </c>
      <c r="H4" s="23" t="s">
        <v>178</v>
      </c>
    </row>
    <row r="5" ht="120.0" customHeight="1">
      <c r="A5" s="8" t="s">
        <v>169</v>
      </c>
      <c r="B5" s="10" t="s">
        <v>180</v>
      </c>
      <c r="C5" s="10" t="s">
        <v>181</v>
      </c>
      <c r="D5" s="10" t="s">
        <v>182</v>
      </c>
      <c r="E5" s="10" t="s">
        <v>183</v>
      </c>
      <c r="F5" s="9" t="str">
        <f t="shared" ref="F5:F7" si="1">"Chúng ta tập trung vào "&amp;B5&amp;". Chúng ta tin điều này mang lại "&amp;C5&amp;" cho "&amp;D5&amp;". Điều này sẽ được xác nhận khi "&amp;E5&amp;"."</f>
        <v>Chúng ta tập trung vào gia sư đăng ký, đưa hồ sơ chuyên môn lên hệ thống và được admin kiểm duyệt để hồ sơ hiển thị công khai. Chúng ta tin điều này mang lại một kênh tự giới thiệu năng lực và sự tin cậy nhờ được kiểm duyệt cho gia sư và học viên. Điều này sẽ được xác nhận khi một gia sư thử nghiệm đăng ký, đăng nhập, điền xong hồ sơ; admin duyệt; rồi người chưa đăng nhập mở được trang chi tiết hồ sơ đã duyệt (hồ sơ chưa duyệt trả về 404).</v>
      </c>
      <c r="G5" s="17" t="s">
        <v>188</v>
      </c>
      <c r="H5" s="10" t="s">
        <v>189</v>
      </c>
    </row>
    <row r="6" ht="120.0" customHeight="1">
      <c r="A6" s="8" t="s">
        <v>191</v>
      </c>
      <c r="B6" s="10" t="s">
        <v>193</v>
      </c>
      <c r="C6" s="10" t="s">
        <v>194</v>
      </c>
      <c r="D6" s="10" t="s">
        <v>195</v>
      </c>
      <c r="E6" s="10" t="s">
        <v>197</v>
      </c>
      <c r="F6" s="9" t="str">
        <f t="shared" si="1"/>
        <v>Chúng ta tập trung vào học viên tìm đúng gia sư theo môn và học phí rồi đặt được buổi học vào khung giờ rảnh của gia sư, và gia sư xác nhận được yêu cầu. Chúng ta tin điều này mang lại lịch học chắc chắn, không trùng giờ và đỡ mất thời gian tìm gia sư cho học viên và gia sư. Điều này sẽ được xác nhận khi một học viên thử lọc theo môn và khoảng giá (≤ 2 giây với 500 hồ sơ mẫu) và đặt một khung giờ; hai học viên cùng đặt một khung giờ thì chỉ một người thành công; gia sư chấp nhận để booking thành "Đã xác nhận" (phát hành V1.0).</v>
      </c>
      <c r="G6" s="9" t="s">
        <v>199</v>
      </c>
      <c r="H6" s="10" t="s">
        <v>200</v>
      </c>
    </row>
    <row r="7" ht="120.0" customHeight="1">
      <c r="A7" s="8" t="s">
        <v>201</v>
      </c>
      <c r="B7" s="10" t="s">
        <v>202</v>
      </c>
      <c r="C7" s="10" t="s">
        <v>203</v>
      </c>
      <c r="D7" s="10" t="s">
        <v>195</v>
      </c>
      <c r="E7" s="7" t="s">
        <v>204</v>
      </c>
      <c r="F7" s="9" t="str">
        <f t="shared" si="1"/>
        <v>Chúng ta tập trung vào học viên thanh toán online và vào học video ngay trên web, và bản V2.0 sẵn sàng cho người dùng thật. Chúng ta tin điều này mang lại khả năng giữ chỗ buổi học không cần tiền mặt và học không phải cài thêm phần mềm cho học viên và gia sư. Điều này sẽ được xác nhận khi ≥ 5 người dùng thử hoàn thành trọn luồng đăng ký → tìm → đặt → thanh toán  → vào cùng phòng học đúng giờ trên bản chạy HTTPS .</v>
      </c>
      <c r="G7" s="9" t="s">
        <v>205</v>
      </c>
      <c r="H7" s="10" t="s">
        <v>206</v>
      </c>
    </row>
    <row r="11" ht="150.0" customHeight="1">
      <c r="A11" s="13"/>
      <c r="B11" s="9"/>
      <c r="C11" s="25"/>
      <c r="D11" s="20"/>
      <c r="E11" s="20"/>
    </row>
    <row r="12" ht="150.0" customHeight="1">
      <c r="A12" s="13"/>
      <c r="B12" s="9"/>
      <c r="C12" s="25"/>
      <c r="D12" s="20"/>
      <c r="E12" s="20"/>
    </row>
    <row r="13">
      <c r="A13" s="22"/>
    </row>
    <row r="15">
      <c r="A15" s="22"/>
    </row>
    <row r="16">
      <c r="A16" s="26"/>
    </row>
    <row r="17">
      <c r="A17" s="26"/>
    </row>
    <row r="18">
      <c r="A18" s="26"/>
    </row>
    <row r="19">
      <c r="A19" s="26"/>
    </row>
    <row r="20" ht="15.75" customHeight="1">
      <c r="A20" s="26"/>
    </row>
    <row r="21" ht="15.75" customHeight="1">
      <c r="A21" s="26"/>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C11:E11"/>
    <mergeCell ref="C12:E12"/>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10.0"/>
    <col customWidth="1" min="2" max="2" width="40.0"/>
    <col customWidth="1" min="3" max="3" width="9.0"/>
    <col customWidth="1" min="4" max="4" width="34.14"/>
    <col customWidth="1" min="5" max="5" width="46.0"/>
    <col customWidth="1" min="6" max="6" width="8.0"/>
    <col customWidth="1" min="7" max="7" width="11.0"/>
    <col customWidth="1" min="8" max="8" width="12.0"/>
    <col customWidth="1" min="9" max="9" width="10.0"/>
    <col customWidth="1" min="10" max="24" width="8.0"/>
    <col customWidth="1" min="25" max="26" width="8.71"/>
  </cols>
  <sheetData>
    <row r="1">
      <c r="A1" s="1" t="s">
        <v>254</v>
      </c>
    </row>
    <row r="2" ht="41.25" customHeight="1">
      <c r="A2" s="6" t="s">
        <v>159</v>
      </c>
      <c r="B2" s="25" t="str">
        <f>'Sprint planning'!E13</f>
        <v>Chúng ta tập trung vào gia sư đăng ký, đưa hồ sơ chuyên môn lên hệ thống và được admin kiểm duyệt để hồ sơ hiển thị công khai. Chúng ta tin điều này mang lại một kênh tự giới thiệu năng lực và sự tin cậy nhờ được kiểm duyệt cho gia sư và học viên. Điều này sẽ được xác nhận khi một gia sư thử nghiệm đăng ký, đăng nhập, điền xong hồ sơ; admin duyệt; rồi người chưa đăng nhập mở được trang chi tiết hồ sơ đã duyệt (hồ sơ chưa duyệt trả về 404).</v>
      </c>
      <c r="C2" s="20"/>
      <c r="D2" s="20"/>
      <c r="E2" s="20"/>
      <c r="F2" s="20"/>
      <c r="G2" s="20"/>
      <c r="H2" s="20"/>
      <c r="I2" s="20"/>
      <c r="J2" s="20"/>
      <c r="K2" s="20"/>
      <c r="L2" s="20"/>
      <c r="M2" s="20"/>
    </row>
    <row r="3">
      <c r="J3" s="3" t="s">
        <v>257</v>
      </c>
    </row>
    <row r="4" ht="31.5" customHeight="1">
      <c r="A4" s="4" t="s">
        <v>44</v>
      </c>
      <c r="B4" s="4" t="s">
        <v>260</v>
      </c>
      <c r="C4" s="4" t="s">
        <v>261</v>
      </c>
      <c r="D4" s="4" t="s">
        <v>262</v>
      </c>
      <c r="E4" s="4" t="s">
        <v>265</v>
      </c>
      <c r="F4" s="4" t="s">
        <v>266</v>
      </c>
      <c r="G4" s="4" t="s">
        <v>18</v>
      </c>
      <c r="H4" s="4" t="s">
        <v>65</v>
      </c>
      <c r="I4" s="4" t="s">
        <v>267</v>
      </c>
      <c r="J4" s="4" t="s">
        <v>268</v>
      </c>
      <c r="K4" s="4" t="s">
        <v>269</v>
      </c>
      <c r="L4" s="4" t="s">
        <v>270</v>
      </c>
      <c r="M4" s="4" t="s">
        <v>271</v>
      </c>
      <c r="N4" s="4" t="s">
        <v>272</v>
      </c>
      <c r="O4" s="4" t="s">
        <v>273</v>
      </c>
      <c r="P4" s="4" t="s">
        <v>274</v>
      </c>
      <c r="Q4" s="4" t="s">
        <v>275</v>
      </c>
      <c r="R4" s="4" t="s">
        <v>276</v>
      </c>
      <c r="S4" s="4" t="s">
        <v>277</v>
      </c>
      <c r="T4" s="4" t="s">
        <v>278</v>
      </c>
      <c r="U4" s="4" t="s">
        <v>279</v>
      </c>
      <c r="V4" s="4" t="s">
        <v>280</v>
      </c>
      <c r="W4" s="4" t="s">
        <v>282</v>
      </c>
      <c r="X4" s="4" t="s">
        <v>283</v>
      </c>
    </row>
    <row r="5">
      <c r="A5" s="29"/>
      <c r="B5" s="29"/>
      <c r="C5" s="29"/>
      <c r="D5" s="29"/>
      <c r="E5" s="29"/>
      <c r="F5" s="29"/>
      <c r="G5" s="29"/>
      <c r="H5" s="29"/>
      <c r="I5" s="30" t="s">
        <v>289</v>
      </c>
      <c r="J5" s="31" t="str">
        <f>WORKDAY(#REF!,0,'Sprint planning'!$B$8)</f>
        <v>#REF!</v>
      </c>
      <c r="K5" s="31" t="str">
        <f>WORKDAY(#REF!,1,'Sprint planning'!$B$8)</f>
        <v>#REF!</v>
      </c>
      <c r="L5" s="31" t="str">
        <f>WORKDAY(#REF!,2,'Sprint planning'!$B$8)</f>
        <v>#REF!</v>
      </c>
      <c r="M5" s="31" t="str">
        <f>WORKDAY(#REF!,3,'Sprint planning'!$B$8)</f>
        <v>#REF!</v>
      </c>
      <c r="N5" s="31" t="str">
        <f>WORKDAY(#REF!,4,'Sprint planning'!$B$8)</f>
        <v>#REF!</v>
      </c>
      <c r="O5" s="31" t="str">
        <f>WORKDAY(#REF!,5,'Sprint planning'!$B$8)</f>
        <v>#REF!</v>
      </c>
      <c r="P5" s="31" t="str">
        <f>WORKDAY(#REF!,6,'Sprint planning'!$B$8)</f>
        <v>#REF!</v>
      </c>
      <c r="Q5" s="31" t="str">
        <f>WORKDAY(#REF!,7,'Sprint planning'!$B$8)</f>
        <v>#REF!</v>
      </c>
      <c r="R5" s="31" t="str">
        <f>WORKDAY(#REF!,8,'Sprint planning'!$B$8)</f>
        <v>#REF!</v>
      </c>
      <c r="S5" s="31" t="str">
        <f>WORKDAY(#REF!,9,'Sprint planning'!$B$8)</f>
        <v>#REF!</v>
      </c>
      <c r="T5" s="31" t="str">
        <f>WORKDAY(#REF!,10,'Sprint planning'!$B$8)</f>
        <v>#REF!</v>
      </c>
      <c r="U5" s="31" t="str">
        <f>WORKDAY(#REF!,11,'Sprint planning'!$B$8)</f>
        <v>#REF!</v>
      </c>
      <c r="V5" s="31" t="str">
        <f>WORKDAY(#REF!,12,'Sprint planning'!$B$8)</f>
        <v>#REF!</v>
      </c>
      <c r="W5" s="31" t="str">
        <f>WORKDAY(#REF!,13,'Sprint planning'!$B$8)</f>
        <v>#REF!</v>
      </c>
      <c r="X5" s="31" t="str">
        <f>WORKDAY(#REF!,14,'Sprint planning'!$B$8)</f>
        <v>#REF!</v>
      </c>
    </row>
    <row r="6" ht="42.0" customHeight="1">
      <c r="A6" s="32" t="s">
        <v>316</v>
      </c>
      <c r="B6" s="33" t="s">
        <v>318</v>
      </c>
      <c r="C6" s="5" t="s">
        <v>319</v>
      </c>
      <c r="D6" s="9" t="s">
        <v>320</v>
      </c>
      <c r="E6" s="9" t="s">
        <v>321</v>
      </c>
      <c r="F6" s="16" t="s">
        <v>72</v>
      </c>
      <c r="G6" s="5" t="s">
        <v>68</v>
      </c>
      <c r="H6" s="16">
        <v>3.0</v>
      </c>
      <c r="I6" s="16"/>
      <c r="J6" s="16"/>
      <c r="K6" s="16"/>
      <c r="L6" s="16"/>
      <c r="M6" s="16"/>
      <c r="N6" s="16"/>
      <c r="O6" s="16"/>
      <c r="P6" s="16"/>
      <c r="Q6" s="16"/>
      <c r="R6" s="16"/>
      <c r="S6" s="16"/>
      <c r="T6" s="16"/>
      <c r="U6" s="16"/>
      <c r="V6" s="16"/>
      <c r="W6" s="16"/>
      <c r="X6" s="16"/>
    </row>
    <row r="7" ht="42.0" customHeight="1">
      <c r="A7" s="34"/>
      <c r="B7" s="34"/>
      <c r="C7" s="5" t="s">
        <v>324</v>
      </c>
      <c r="D7" s="9" t="s">
        <v>325</v>
      </c>
      <c r="E7" s="9" t="s">
        <v>326</v>
      </c>
      <c r="F7" s="16" t="s">
        <v>25</v>
      </c>
      <c r="G7" s="5" t="s">
        <v>68</v>
      </c>
      <c r="H7" s="16">
        <v>6.0</v>
      </c>
      <c r="I7" s="16"/>
      <c r="J7" s="16"/>
      <c r="K7" s="16"/>
      <c r="L7" s="16"/>
      <c r="M7" s="16"/>
      <c r="N7" s="16"/>
      <c r="O7" s="16"/>
      <c r="P7" s="16"/>
      <c r="Q7" s="16"/>
      <c r="R7" s="16"/>
      <c r="S7" s="16"/>
      <c r="T7" s="16"/>
      <c r="U7" s="16"/>
      <c r="V7" s="16"/>
      <c r="W7" s="16"/>
      <c r="X7" s="16"/>
    </row>
    <row r="8" ht="42.0" customHeight="1">
      <c r="A8" s="34"/>
      <c r="B8" s="34"/>
      <c r="C8" s="5" t="s">
        <v>327</v>
      </c>
      <c r="D8" s="9" t="s">
        <v>328</v>
      </c>
      <c r="E8" s="9" t="s">
        <v>329</v>
      </c>
      <c r="F8" s="16" t="s">
        <v>67</v>
      </c>
      <c r="G8" s="5" t="s">
        <v>68</v>
      </c>
      <c r="H8" s="16">
        <v>6.0</v>
      </c>
      <c r="I8" s="16"/>
      <c r="J8" s="16"/>
      <c r="K8" s="16"/>
      <c r="L8" s="16"/>
      <c r="M8" s="16"/>
      <c r="N8" s="16"/>
      <c r="O8" s="16"/>
      <c r="P8" s="16"/>
      <c r="Q8" s="16"/>
      <c r="R8" s="16"/>
      <c r="S8" s="16"/>
      <c r="T8" s="16"/>
      <c r="U8" s="16"/>
      <c r="V8" s="16"/>
      <c r="W8" s="16"/>
      <c r="X8" s="16"/>
    </row>
    <row r="9" ht="30.0" customHeight="1">
      <c r="A9" s="34"/>
      <c r="B9" s="34"/>
      <c r="C9" s="5" t="s">
        <v>331</v>
      </c>
      <c r="D9" s="9" t="s">
        <v>332</v>
      </c>
      <c r="E9" s="9" t="s">
        <v>333</v>
      </c>
      <c r="F9" s="16" t="s">
        <v>25</v>
      </c>
      <c r="G9" s="5" t="s">
        <v>68</v>
      </c>
      <c r="H9" s="16">
        <v>3.0</v>
      </c>
      <c r="I9" s="16"/>
      <c r="J9" s="16"/>
      <c r="K9" s="16"/>
      <c r="L9" s="16"/>
      <c r="M9" s="16"/>
      <c r="N9" s="16"/>
      <c r="O9" s="16"/>
      <c r="P9" s="16"/>
      <c r="Q9" s="16"/>
      <c r="R9" s="16"/>
      <c r="S9" s="16"/>
      <c r="T9" s="16"/>
      <c r="U9" s="16"/>
      <c r="V9" s="16"/>
      <c r="W9" s="16"/>
      <c r="X9" s="16"/>
    </row>
    <row r="10" ht="30.0" customHeight="1">
      <c r="A10" s="35"/>
      <c r="B10" s="35"/>
      <c r="C10" s="5" t="s">
        <v>334</v>
      </c>
      <c r="D10" s="9" t="s">
        <v>335</v>
      </c>
      <c r="E10" s="9" t="s">
        <v>336</v>
      </c>
      <c r="F10" s="16" t="s">
        <v>50</v>
      </c>
      <c r="G10" s="5" t="s">
        <v>68</v>
      </c>
      <c r="H10" s="16">
        <v>2.0</v>
      </c>
      <c r="I10" s="16"/>
      <c r="J10" s="16"/>
      <c r="K10" s="16"/>
      <c r="L10" s="16"/>
      <c r="M10" s="16"/>
      <c r="N10" s="16"/>
      <c r="O10" s="16"/>
      <c r="P10" s="16"/>
      <c r="Q10" s="16"/>
      <c r="R10" s="16"/>
      <c r="S10" s="16"/>
      <c r="T10" s="16"/>
      <c r="U10" s="16"/>
      <c r="V10" s="16"/>
      <c r="W10" s="16"/>
      <c r="X10" s="16"/>
    </row>
    <row r="11" ht="42.0" customHeight="1">
      <c r="A11" s="32" t="s">
        <v>338</v>
      </c>
      <c r="B11" s="33" t="s">
        <v>340</v>
      </c>
      <c r="C11" s="5" t="s">
        <v>341</v>
      </c>
      <c r="D11" s="9" t="s">
        <v>342</v>
      </c>
      <c r="E11" s="9" t="s">
        <v>344</v>
      </c>
      <c r="F11" s="16" t="s">
        <v>58</v>
      </c>
      <c r="G11" s="5" t="s">
        <v>68</v>
      </c>
      <c r="H11" s="16">
        <v>6.0</v>
      </c>
      <c r="I11" s="16"/>
      <c r="J11" s="16"/>
      <c r="K11" s="16"/>
      <c r="L11" s="16"/>
      <c r="M11" s="16"/>
      <c r="N11" s="16"/>
      <c r="O11" s="16"/>
      <c r="P11" s="16"/>
      <c r="Q11" s="16"/>
      <c r="R11" s="16"/>
      <c r="S11" s="16"/>
      <c r="T11" s="16"/>
      <c r="U11" s="16"/>
      <c r="V11" s="16"/>
      <c r="W11" s="16"/>
      <c r="X11" s="16"/>
    </row>
    <row r="12" ht="42.0" customHeight="1">
      <c r="A12" s="34"/>
      <c r="B12" s="34"/>
      <c r="C12" s="5" t="s">
        <v>347</v>
      </c>
      <c r="D12" s="9" t="s">
        <v>348</v>
      </c>
      <c r="E12" s="9" t="s">
        <v>349</v>
      </c>
      <c r="F12" s="16" t="s">
        <v>58</v>
      </c>
      <c r="G12" s="5" t="s">
        <v>68</v>
      </c>
      <c r="H12" s="16">
        <v>5.0</v>
      </c>
      <c r="I12" s="16"/>
      <c r="J12" s="16"/>
      <c r="K12" s="16"/>
      <c r="L12" s="16"/>
      <c r="M12" s="16"/>
      <c r="N12" s="16"/>
      <c r="O12" s="16"/>
      <c r="P12" s="16"/>
      <c r="Q12" s="16"/>
      <c r="R12" s="16"/>
      <c r="S12" s="16"/>
      <c r="T12" s="16"/>
      <c r="U12" s="16"/>
      <c r="V12" s="16"/>
      <c r="W12" s="16"/>
      <c r="X12" s="16"/>
    </row>
    <row r="13" ht="42.0" customHeight="1">
      <c r="A13" s="34"/>
      <c r="B13" s="34"/>
      <c r="C13" s="5" t="s">
        <v>353</v>
      </c>
      <c r="D13" s="9" t="s">
        <v>354</v>
      </c>
      <c r="E13" s="9" t="s">
        <v>355</v>
      </c>
      <c r="F13" s="16" t="s">
        <v>67</v>
      </c>
      <c r="G13" s="5" t="s">
        <v>68</v>
      </c>
      <c r="H13" s="16">
        <v>5.0</v>
      </c>
      <c r="I13" s="16"/>
      <c r="J13" s="16"/>
      <c r="K13" s="16"/>
      <c r="L13" s="16"/>
      <c r="M13" s="16"/>
      <c r="N13" s="16"/>
      <c r="O13" s="16"/>
      <c r="P13" s="16"/>
      <c r="Q13" s="16"/>
      <c r="R13" s="16"/>
      <c r="S13" s="16"/>
      <c r="T13" s="16"/>
      <c r="U13" s="16"/>
      <c r="V13" s="16"/>
      <c r="W13" s="16"/>
      <c r="X13" s="16"/>
    </row>
    <row r="14" ht="30.0" customHeight="1">
      <c r="A14" s="34"/>
      <c r="B14" s="34"/>
      <c r="C14" s="5" t="s">
        <v>356</v>
      </c>
      <c r="D14" s="9" t="s">
        <v>357</v>
      </c>
      <c r="E14" s="9" t="s">
        <v>360</v>
      </c>
      <c r="F14" s="16" t="s">
        <v>25</v>
      </c>
      <c r="G14" s="5" t="s">
        <v>68</v>
      </c>
      <c r="H14" s="16">
        <v>2.0</v>
      </c>
      <c r="I14" s="16"/>
      <c r="J14" s="16"/>
      <c r="K14" s="16"/>
      <c r="L14" s="16"/>
      <c r="M14" s="16"/>
      <c r="N14" s="16"/>
      <c r="O14" s="16"/>
      <c r="P14" s="16"/>
      <c r="Q14" s="16"/>
      <c r="R14" s="16"/>
      <c r="S14" s="16"/>
      <c r="T14" s="16"/>
      <c r="U14" s="16"/>
      <c r="V14" s="16"/>
      <c r="W14" s="16"/>
      <c r="X14" s="16"/>
    </row>
    <row r="15" ht="30.0" customHeight="1">
      <c r="A15" s="35"/>
      <c r="B15" s="35"/>
      <c r="C15" s="5" t="s">
        <v>363</v>
      </c>
      <c r="D15" s="9" t="s">
        <v>335</v>
      </c>
      <c r="E15" s="9" t="s">
        <v>364</v>
      </c>
      <c r="F15" s="16" t="s">
        <v>50</v>
      </c>
      <c r="G15" s="5" t="s">
        <v>68</v>
      </c>
      <c r="H15" s="16">
        <v>2.0</v>
      </c>
      <c r="I15" s="16"/>
      <c r="J15" s="16"/>
      <c r="K15" s="16"/>
      <c r="L15" s="16"/>
      <c r="M15" s="16"/>
      <c r="N15" s="16"/>
      <c r="O15" s="16"/>
      <c r="P15" s="16"/>
      <c r="Q15" s="16"/>
      <c r="R15" s="16"/>
      <c r="S15" s="16"/>
      <c r="T15" s="16"/>
      <c r="U15" s="16"/>
      <c r="V15" s="16"/>
      <c r="W15" s="16"/>
      <c r="X15" s="16"/>
    </row>
    <row r="16" ht="42.0" customHeight="1">
      <c r="A16" s="32" t="s">
        <v>368</v>
      </c>
      <c r="B16" s="33" t="s">
        <v>369</v>
      </c>
      <c r="C16" s="5" t="s">
        <v>371</v>
      </c>
      <c r="D16" s="9" t="s">
        <v>373</v>
      </c>
      <c r="E16" s="9" t="s">
        <v>375</v>
      </c>
      <c r="F16" s="16" t="s">
        <v>72</v>
      </c>
      <c r="G16" s="5" t="s">
        <v>68</v>
      </c>
      <c r="H16" s="16">
        <v>5.0</v>
      </c>
      <c r="I16" s="16"/>
      <c r="J16" s="16"/>
      <c r="K16" s="16"/>
      <c r="L16" s="16"/>
      <c r="M16" s="16"/>
      <c r="N16" s="16"/>
      <c r="O16" s="16"/>
      <c r="P16" s="16"/>
      <c r="Q16" s="16"/>
      <c r="R16" s="16"/>
      <c r="S16" s="16"/>
      <c r="T16" s="16"/>
      <c r="U16" s="16"/>
      <c r="V16" s="16"/>
      <c r="W16" s="16"/>
      <c r="X16" s="16"/>
    </row>
    <row r="17" ht="42.0" customHeight="1">
      <c r="A17" s="34"/>
      <c r="B17" s="34"/>
      <c r="C17" s="5" t="s">
        <v>376</v>
      </c>
      <c r="D17" s="9" t="s">
        <v>377</v>
      </c>
      <c r="E17" s="9" t="s">
        <v>378</v>
      </c>
      <c r="F17" s="16" t="s">
        <v>50</v>
      </c>
      <c r="G17" s="5" t="s">
        <v>68</v>
      </c>
      <c r="H17" s="16">
        <v>8.0</v>
      </c>
      <c r="I17" s="16"/>
      <c r="J17" s="16"/>
      <c r="K17" s="16"/>
      <c r="L17" s="16"/>
      <c r="M17" s="16"/>
      <c r="N17" s="16"/>
      <c r="O17" s="16"/>
      <c r="P17" s="16"/>
      <c r="Q17" s="16"/>
      <c r="R17" s="16"/>
      <c r="S17" s="16"/>
      <c r="T17" s="16"/>
      <c r="U17" s="16"/>
      <c r="V17" s="16"/>
      <c r="W17" s="16"/>
      <c r="X17" s="16"/>
    </row>
    <row r="18" ht="42.0" customHeight="1">
      <c r="A18" s="34"/>
      <c r="B18" s="34"/>
      <c r="C18" s="5" t="s">
        <v>380</v>
      </c>
      <c r="D18" s="9" t="s">
        <v>381</v>
      </c>
      <c r="E18" s="9" t="s">
        <v>382</v>
      </c>
      <c r="F18" s="16" t="s">
        <v>72</v>
      </c>
      <c r="G18" s="5" t="s">
        <v>68</v>
      </c>
      <c r="H18" s="16">
        <v>5.0</v>
      </c>
      <c r="I18" s="16"/>
      <c r="J18" s="16"/>
      <c r="K18" s="16"/>
      <c r="L18" s="16"/>
      <c r="M18" s="16"/>
      <c r="N18" s="16"/>
      <c r="O18" s="16"/>
      <c r="P18" s="16"/>
      <c r="Q18" s="16"/>
      <c r="R18" s="16"/>
      <c r="S18" s="16"/>
      <c r="T18" s="16"/>
      <c r="U18" s="16"/>
      <c r="V18" s="16"/>
      <c r="W18" s="16"/>
      <c r="X18" s="16"/>
    </row>
    <row r="19" ht="42.0" customHeight="1">
      <c r="A19" s="34"/>
      <c r="B19" s="34"/>
      <c r="C19" s="5" t="s">
        <v>385</v>
      </c>
      <c r="D19" s="9" t="s">
        <v>386</v>
      </c>
      <c r="E19" s="9" t="s">
        <v>387</v>
      </c>
      <c r="F19" s="16" t="s">
        <v>50</v>
      </c>
      <c r="G19" s="5" t="s">
        <v>68</v>
      </c>
      <c r="H19" s="16">
        <v>8.0</v>
      </c>
      <c r="I19" s="16"/>
      <c r="J19" s="16"/>
      <c r="K19" s="16"/>
      <c r="L19" s="16"/>
      <c r="M19" s="16"/>
      <c r="N19" s="16"/>
      <c r="O19" s="16"/>
      <c r="P19" s="16"/>
      <c r="Q19" s="16"/>
      <c r="R19" s="16"/>
      <c r="S19" s="16"/>
      <c r="T19" s="16"/>
      <c r="U19" s="16"/>
      <c r="V19" s="16"/>
      <c r="W19" s="16"/>
      <c r="X19" s="16"/>
    </row>
    <row r="20" ht="30.0" customHeight="1">
      <c r="A20" s="34"/>
      <c r="B20" s="34"/>
      <c r="C20" s="5" t="s">
        <v>391</v>
      </c>
      <c r="D20" s="9" t="s">
        <v>392</v>
      </c>
      <c r="E20" s="9" t="s">
        <v>393</v>
      </c>
      <c r="F20" s="16" t="s">
        <v>67</v>
      </c>
      <c r="G20" s="5" t="s">
        <v>68</v>
      </c>
      <c r="H20" s="16">
        <v>3.0</v>
      </c>
      <c r="I20" s="16"/>
      <c r="J20" s="16"/>
      <c r="K20" s="16"/>
      <c r="L20" s="16"/>
      <c r="M20" s="16"/>
      <c r="N20" s="16"/>
      <c r="O20" s="16"/>
      <c r="P20" s="16"/>
      <c r="Q20" s="16"/>
      <c r="R20" s="16"/>
      <c r="S20" s="16"/>
      <c r="T20" s="16"/>
      <c r="U20" s="16"/>
      <c r="V20" s="16"/>
      <c r="W20" s="16"/>
      <c r="X20" s="16"/>
    </row>
    <row r="21" ht="30.0" customHeight="1">
      <c r="A21" s="35"/>
      <c r="B21" s="35"/>
      <c r="C21" s="5" t="s">
        <v>400</v>
      </c>
      <c r="D21" s="9" t="s">
        <v>401</v>
      </c>
      <c r="E21" s="9" t="s">
        <v>402</v>
      </c>
      <c r="F21" s="16" t="s">
        <v>25</v>
      </c>
      <c r="G21" s="5" t="s">
        <v>68</v>
      </c>
      <c r="H21" s="16">
        <v>3.0</v>
      </c>
      <c r="I21" s="16"/>
      <c r="J21" s="16"/>
      <c r="K21" s="16"/>
      <c r="L21" s="16"/>
      <c r="M21" s="16"/>
      <c r="N21" s="16"/>
      <c r="O21" s="16"/>
      <c r="P21" s="16"/>
      <c r="Q21" s="16"/>
      <c r="R21" s="16"/>
      <c r="S21" s="16"/>
      <c r="T21" s="16"/>
      <c r="U21" s="16"/>
      <c r="V21" s="16"/>
      <c r="W21" s="16"/>
      <c r="X21" s="16"/>
    </row>
    <row r="22" ht="42.0" customHeight="1">
      <c r="A22" s="36" t="s">
        <v>406</v>
      </c>
      <c r="B22" s="37" t="s">
        <v>410</v>
      </c>
      <c r="C22" s="5" t="s">
        <v>411</v>
      </c>
      <c r="D22" s="9" t="s">
        <v>412</v>
      </c>
      <c r="E22" s="9" t="s">
        <v>413</v>
      </c>
      <c r="F22" s="16" t="s">
        <v>50</v>
      </c>
      <c r="G22" s="5" t="s">
        <v>68</v>
      </c>
      <c r="H22" s="16">
        <v>3.0</v>
      </c>
      <c r="I22" s="16"/>
      <c r="J22" s="16"/>
      <c r="K22" s="16"/>
      <c r="L22" s="16"/>
      <c r="M22" s="16"/>
      <c r="N22" s="16"/>
      <c r="O22" s="16"/>
      <c r="P22" s="16"/>
      <c r="Q22" s="16"/>
      <c r="R22" s="16"/>
      <c r="S22" s="16"/>
      <c r="T22" s="16"/>
      <c r="U22" s="16"/>
      <c r="V22" s="16"/>
      <c r="W22" s="16"/>
      <c r="X22" s="16"/>
    </row>
    <row r="23" ht="42.0" customHeight="1">
      <c r="A23" s="34"/>
      <c r="B23" s="34"/>
      <c r="C23" s="5" t="s">
        <v>417</v>
      </c>
      <c r="D23" s="9" t="s">
        <v>418</v>
      </c>
      <c r="E23" s="9" t="s">
        <v>419</v>
      </c>
      <c r="F23" s="16" t="s">
        <v>50</v>
      </c>
      <c r="G23" s="5" t="s">
        <v>68</v>
      </c>
      <c r="H23" s="16">
        <v>3.0</v>
      </c>
      <c r="I23" s="16"/>
      <c r="J23" s="16"/>
      <c r="K23" s="16"/>
      <c r="L23" s="16"/>
      <c r="M23" s="16"/>
      <c r="N23" s="16"/>
      <c r="O23" s="16"/>
      <c r="P23" s="16"/>
      <c r="Q23" s="16"/>
      <c r="R23" s="16"/>
      <c r="S23" s="16"/>
      <c r="T23" s="16"/>
      <c r="U23" s="16"/>
      <c r="V23" s="16"/>
      <c r="W23" s="16"/>
      <c r="X23" s="16"/>
    </row>
    <row r="24" ht="42.0" customHeight="1">
      <c r="A24" s="34"/>
      <c r="B24" s="34"/>
      <c r="C24" s="5" t="s">
        <v>425</v>
      </c>
      <c r="D24" s="9" t="s">
        <v>426</v>
      </c>
      <c r="E24" s="9" t="s">
        <v>427</v>
      </c>
      <c r="F24" s="16" t="s">
        <v>58</v>
      </c>
      <c r="G24" s="5" t="s">
        <v>68</v>
      </c>
      <c r="H24" s="16">
        <v>6.0</v>
      </c>
      <c r="I24" s="16"/>
      <c r="J24" s="16"/>
      <c r="K24" s="16"/>
      <c r="L24" s="16"/>
      <c r="M24" s="16"/>
      <c r="N24" s="16"/>
      <c r="O24" s="16"/>
      <c r="P24" s="16"/>
      <c r="Q24" s="16"/>
      <c r="R24" s="16"/>
      <c r="S24" s="16"/>
      <c r="T24" s="16"/>
      <c r="U24" s="16"/>
      <c r="V24" s="16"/>
      <c r="W24" s="16"/>
      <c r="X24" s="16"/>
    </row>
    <row r="25" ht="30.0" customHeight="1">
      <c r="A25" s="34"/>
      <c r="B25" s="34"/>
      <c r="C25" s="5" t="s">
        <v>436</v>
      </c>
      <c r="D25" s="9" t="s">
        <v>437</v>
      </c>
      <c r="E25" s="9" t="s">
        <v>438</v>
      </c>
      <c r="F25" s="16" t="s">
        <v>72</v>
      </c>
      <c r="G25" s="5" t="s">
        <v>68</v>
      </c>
      <c r="H25" s="16">
        <v>4.0</v>
      </c>
      <c r="I25" s="16"/>
      <c r="J25" s="16"/>
      <c r="K25" s="16"/>
      <c r="L25" s="16"/>
      <c r="M25" s="16"/>
      <c r="N25" s="16"/>
      <c r="O25" s="16"/>
      <c r="P25" s="16"/>
      <c r="Q25" s="16"/>
      <c r="R25" s="16"/>
      <c r="S25" s="16"/>
      <c r="T25" s="16"/>
      <c r="U25" s="16"/>
      <c r="V25" s="16"/>
      <c r="W25" s="16"/>
      <c r="X25" s="16"/>
    </row>
    <row r="26" ht="30.0" customHeight="1">
      <c r="A26" s="35"/>
      <c r="B26" s="35"/>
      <c r="C26" s="5" t="s">
        <v>449</v>
      </c>
      <c r="D26" s="9" t="s">
        <v>450</v>
      </c>
      <c r="E26" s="9" t="s">
        <v>452</v>
      </c>
      <c r="F26" s="16" t="s">
        <v>25</v>
      </c>
      <c r="G26" s="5" t="s">
        <v>68</v>
      </c>
      <c r="H26" s="16">
        <v>4.0</v>
      </c>
      <c r="I26" s="16"/>
      <c r="J26" s="16"/>
      <c r="K26" s="16"/>
      <c r="L26" s="16"/>
      <c r="M26" s="16"/>
      <c r="N26" s="16"/>
      <c r="O26" s="16"/>
      <c r="P26" s="16"/>
      <c r="Q26" s="16"/>
      <c r="R26" s="16"/>
      <c r="S26" s="16"/>
      <c r="T26" s="16"/>
      <c r="U26" s="16"/>
      <c r="V26" s="16"/>
      <c r="W26" s="16"/>
      <c r="X26" s="16"/>
    </row>
    <row r="27" ht="30.0" customHeight="1">
      <c r="A27" s="32" t="s">
        <v>463</v>
      </c>
      <c r="B27" s="33" t="s">
        <v>470</v>
      </c>
      <c r="C27" s="5" t="s">
        <v>471</v>
      </c>
      <c r="D27" s="9" t="s">
        <v>473</v>
      </c>
      <c r="E27" s="9" t="s">
        <v>475</v>
      </c>
      <c r="F27" s="16" t="s">
        <v>72</v>
      </c>
      <c r="G27" s="5" t="s">
        <v>68</v>
      </c>
      <c r="H27" s="16">
        <v>3.0</v>
      </c>
      <c r="I27" s="16"/>
      <c r="J27" s="16"/>
      <c r="K27" s="16"/>
      <c r="L27" s="16"/>
      <c r="M27" s="16"/>
      <c r="N27" s="16"/>
      <c r="O27" s="16"/>
      <c r="P27" s="16"/>
      <c r="Q27" s="16"/>
      <c r="R27" s="16"/>
      <c r="S27" s="16"/>
      <c r="T27" s="16"/>
      <c r="U27" s="16"/>
      <c r="V27" s="16"/>
      <c r="W27" s="16"/>
      <c r="X27" s="16"/>
    </row>
    <row r="28" ht="30.0" customHeight="1">
      <c r="A28" s="34"/>
      <c r="B28" s="34"/>
      <c r="C28" s="5" t="s">
        <v>486</v>
      </c>
      <c r="D28" s="9" t="s">
        <v>487</v>
      </c>
      <c r="E28" s="9" t="s">
        <v>488</v>
      </c>
      <c r="F28" s="16" t="s">
        <v>67</v>
      </c>
      <c r="G28" s="5" t="s">
        <v>68</v>
      </c>
      <c r="H28" s="16">
        <v>6.0</v>
      </c>
      <c r="I28" s="16"/>
      <c r="J28" s="16"/>
      <c r="K28" s="16"/>
      <c r="L28" s="16"/>
      <c r="M28" s="16"/>
      <c r="N28" s="16"/>
      <c r="O28" s="16"/>
      <c r="P28" s="16"/>
      <c r="Q28" s="16"/>
      <c r="R28" s="16"/>
      <c r="S28" s="16"/>
      <c r="T28" s="16"/>
      <c r="U28" s="16"/>
      <c r="V28" s="16"/>
      <c r="W28" s="16"/>
      <c r="X28" s="16"/>
    </row>
    <row r="29" ht="30.0" customHeight="1">
      <c r="A29" s="34"/>
      <c r="B29" s="34"/>
      <c r="C29" s="5" t="s">
        <v>492</v>
      </c>
      <c r="D29" s="9" t="s">
        <v>494</v>
      </c>
      <c r="E29" s="9" t="s">
        <v>496</v>
      </c>
      <c r="F29" s="16" t="s">
        <v>58</v>
      </c>
      <c r="G29" s="5" t="s">
        <v>68</v>
      </c>
      <c r="H29" s="16">
        <v>5.0</v>
      </c>
      <c r="I29" s="16"/>
      <c r="J29" s="16"/>
      <c r="K29" s="16"/>
      <c r="L29" s="16"/>
      <c r="M29" s="16"/>
      <c r="N29" s="16"/>
      <c r="O29" s="16"/>
      <c r="P29" s="16"/>
      <c r="Q29" s="16"/>
      <c r="R29" s="16"/>
      <c r="S29" s="16"/>
      <c r="T29" s="16"/>
      <c r="U29" s="16"/>
      <c r="V29" s="16"/>
      <c r="W29" s="16"/>
      <c r="X29" s="16"/>
    </row>
    <row r="30" ht="30.0" customHeight="1">
      <c r="A30" s="34"/>
      <c r="B30" s="34"/>
      <c r="C30" s="5" t="s">
        <v>500</v>
      </c>
      <c r="D30" s="9" t="s">
        <v>501</v>
      </c>
      <c r="E30" s="9" t="s">
        <v>503</v>
      </c>
      <c r="F30" s="16" t="s">
        <v>72</v>
      </c>
      <c r="G30" s="5" t="s">
        <v>68</v>
      </c>
      <c r="H30" s="16">
        <v>3.0</v>
      </c>
      <c r="I30" s="16"/>
      <c r="J30" s="16"/>
      <c r="K30" s="16"/>
      <c r="L30" s="16"/>
      <c r="M30" s="16"/>
      <c r="N30" s="16"/>
      <c r="O30" s="16"/>
      <c r="P30" s="16"/>
      <c r="Q30" s="16"/>
      <c r="R30" s="16"/>
      <c r="S30" s="16"/>
      <c r="T30" s="16"/>
      <c r="U30" s="16"/>
      <c r="V30" s="16"/>
      <c r="W30" s="16"/>
      <c r="X30" s="16"/>
    </row>
    <row r="31" ht="30.0" customHeight="1">
      <c r="A31" s="35"/>
      <c r="B31" s="35"/>
      <c r="C31" s="5" t="s">
        <v>506</v>
      </c>
      <c r="D31" s="9" t="s">
        <v>507</v>
      </c>
      <c r="E31" s="9" t="s">
        <v>509</v>
      </c>
      <c r="F31" s="16" t="s">
        <v>25</v>
      </c>
      <c r="G31" s="5" t="s">
        <v>68</v>
      </c>
      <c r="H31" s="16">
        <v>3.0</v>
      </c>
      <c r="I31" s="16"/>
      <c r="J31" s="16"/>
      <c r="K31" s="16"/>
      <c r="L31" s="16"/>
      <c r="M31" s="16"/>
      <c r="N31" s="16"/>
      <c r="O31" s="16"/>
      <c r="P31" s="16"/>
      <c r="Q31" s="16"/>
      <c r="R31" s="16"/>
      <c r="S31" s="16"/>
      <c r="T31" s="16"/>
      <c r="U31" s="16"/>
      <c r="V31" s="16"/>
      <c r="W31" s="16"/>
      <c r="X31" s="16"/>
    </row>
    <row r="32" ht="30.0" customHeight="1">
      <c r="A32" s="32" t="s">
        <v>513</v>
      </c>
      <c r="B32" s="33" t="s">
        <v>515</v>
      </c>
      <c r="C32" s="5" t="s">
        <v>518</v>
      </c>
      <c r="D32" s="9" t="s">
        <v>519</v>
      </c>
      <c r="E32" s="9" t="s">
        <v>520</v>
      </c>
      <c r="F32" s="16" t="s">
        <v>67</v>
      </c>
      <c r="G32" s="5" t="s">
        <v>68</v>
      </c>
      <c r="H32" s="16">
        <v>6.0</v>
      </c>
      <c r="I32" s="16"/>
      <c r="J32" s="16"/>
      <c r="K32" s="16"/>
      <c r="L32" s="16"/>
      <c r="M32" s="16"/>
      <c r="N32" s="16"/>
      <c r="O32" s="16"/>
      <c r="P32" s="16"/>
      <c r="Q32" s="16"/>
      <c r="R32" s="16"/>
      <c r="S32" s="16"/>
      <c r="T32" s="16"/>
      <c r="U32" s="16"/>
      <c r="V32" s="16"/>
      <c r="W32" s="16"/>
      <c r="X32" s="16"/>
    </row>
    <row r="33" ht="30.0" customHeight="1">
      <c r="A33" s="34"/>
      <c r="B33" s="34"/>
      <c r="C33" s="5" t="s">
        <v>524</v>
      </c>
      <c r="D33" s="9" t="s">
        <v>525</v>
      </c>
      <c r="E33" s="9" t="s">
        <v>526</v>
      </c>
      <c r="F33" s="16" t="s">
        <v>58</v>
      </c>
      <c r="G33" s="5" t="s">
        <v>68</v>
      </c>
      <c r="H33" s="16">
        <v>3.0</v>
      </c>
      <c r="I33" s="16"/>
      <c r="J33" s="16"/>
      <c r="K33" s="16"/>
      <c r="L33" s="16"/>
      <c r="M33" s="16"/>
      <c r="N33" s="16"/>
      <c r="O33" s="16"/>
      <c r="P33" s="16"/>
      <c r="Q33" s="16"/>
      <c r="R33" s="16"/>
      <c r="S33" s="16"/>
      <c r="T33" s="16"/>
      <c r="U33" s="16"/>
      <c r="V33" s="16"/>
      <c r="W33" s="16"/>
      <c r="X33" s="16"/>
    </row>
    <row r="34" ht="30.0" customHeight="1">
      <c r="A34" s="35"/>
      <c r="B34" s="35"/>
      <c r="C34" s="5" t="s">
        <v>530</v>
      </c>
      <c r="D34" s="9" t="s">
        <v>531</v>
      </c>
      <c r="E34" s="9" t="s">
        <v>532</v>
      </c>
      <c r="F34" s="16" t="s">
        <v>25</v>
      </c>
      <c r="G34" s="5" t="s">
        <v>68</v>
      </c>
      <c r="H34" s="16">
        <v>3.0</v>
      </c>
      <c r="I34" s="16"/>
      <c r="J34" s="16"/>
      <c r="K34" s="16"/>
      <c r="L34" s="16"/>
      <c r="M34" s="16"/>
      <c r="N34" s="16"/>
      <c r="O34" s="16"/>
      <c r="P34" s="16"/>
      <c r="Q34" s="16"/>
      <c r="R34" s="16"/>
      <c r="S34" s="16"/>
      <c r="T34" s="16"/>
      <c r="U34" s="16"/>
      <c r="V34" s="16"/>
      <c r="W34" s="16"/>
      <c r="X34" s="16"/>
    </row>
    <row r="35" ht="15.75" customHeight="1">
      <c r="G35" s="27" t="s">
        <v>317</v>
      </c>
      <c r="H35" s="27">
        <f t="shared" ref="H35:I35" si="1">SUM(H6:H34)</f>
        <v>124</v>
      </c>
      <c r="I35" s="27">
        <f t="shared" si="1"/>
        <v>0</v>
      </c>
      <c r="J35" s="27" t="str">
        <f t="shared" ref="J35:X35" si="2">IF(COUNT(J6:J34)=0,"",SUM(J6:J34))</f>
        <v/>
      </c>
      <c r="K35" s="27" t="str">
        <f t="shared" si="2"/>
        <v/>
      </c>
      <c r="L35" s="27" t="str">
        <f t="shared" si="2"/>
        <v/>
      </c>
      <c r="M35" s="27" t="str">
        <f t="shared" si="2"/>
        <v/>
      </c>
      <c r="N35" s="27" t="str">
        <f t="shared" si="2"/>
        <v/>
      </c>
      <c r="O35" s="27" t="str">
        <f t="shared" si="2"/>
        <v/>
      </c>
      <c r="P35" s="27" t="str">
        <f t="shared" si="2"/>
        <v/>
      </c>
      <c r="Q35" s="27" t="str">
        <f t="shared" si="2"/>
        <v/>
      </c>
      <c r="R35" s="27" t="str">
        <f t="shared" si="2"/>
        <v/>
      </c>
      <c r="S35" s="27" t="str">
        <f t="shared" si="2"/>
        <v/>
      </c>
      <c r="T35" s="27" t="str">
        <f t="shared" si="2"/>
        <v/>
      </c>
      <c r="U35" s="27" t="str">
        <f t="shared" si="2"/>
        <v/>
      </c>
      <c r="V35" s="27" t="str">
        <f t="shared" si="2"/>
        <v/>
      </c>
      <c r="W35" s="27" t="str">
        <f t="shared" si="2"/>
        <v/>
      </c>
      <c r="X35" s="27" t="str">
        <f t="shared" si="2"/>
        <v/>
      </c>
    </row>
    <row r="36" ht="15.75" customHeight="1">
      <c r="G36" s="27" t="s">
        <v>512</v>
      </c>
      <c r="H36" s="27">
        <f>H35</f>
        <v>124</v>
      </c>
      <c r="J36" s="38">
        <f>$H$35-$H$35*1/15</f>
        <v>115.7333333</v>
      </c>
      <c r="K36" s="38">
        <f>$H$35-$H$35*2/15</f>
        <v>107.4666667</v>
      </c>
      <c r="L36" s="38">
        <f>$H$35-$H$35*3/15</f>
        <v>99.2</v>
      </c>
      <c r="M36" s="38">
        <f>$H$35-$H$35*4/15</f>
        <v>90.93333333</v>
      </c>
      <c r="N36" s="38">
        <f>$H$35-$H$35*5/15</f>
        <v>82.66666667</v>
      </c>
      <c r="O36" s="38">
        <f>$H$35-$H$35*6/15</f>
        <v>74.4</v>
      </c>
      <c r="P36" s="38">
        <f>$H$35-$H$35*7/15</f>
        <v>66.13333333</v>
      </c>
      <c r="Q36" s="38">
        <f>$H$35-$H$35*8/15</f>
        <v>57.86666667</v>
      </c>
      <c r="R36" s="38">
        <f>$H$35-$H$35*9/15</f>
        <v>49.6</v>
      </c>
      <c r="S36" s="38">
        <f>$H$35-$H$35*10/15</f>
        <v>41.33333333</v>
      </c>
      <c r="T36" s="38">
        <f>$H$35-$H$35*11/15</f>
        <v>33.06666667</v>
      </c>
      <c r="U36" s="38">
        <f>$H$35-$H$35*12/15</f>
        <v>24.8</v>
      </c>
      <c r="V36" s="38">
        <f>$H$35-$H$35*13/15</f>
        <v>16.53333333</v>
      </c>
      <c r="W36" s="38">
        <f>$H$35-$H$35*14/15</f>
        <v>8.266666667</v>
      </c>
      <c r="X36" s="38">
        <f>$H$35-$H$35*15/15</f>
        <v>0</v>
      </c>
    </row>
    <row r="37" ht="15.75" customHeight="1"/>
    <row r="38" ht="15.75" customHeight="1">
      <c r="D38" s="22" t="s">
        <v>571</v>
      </c>
    </row>
    <row r="39" ht="31.5" customHeight="1">
      <c r="D39" s="4" t="s">
        <v>266</v>
      </c>
      <c r="E39" s="4" t="s">
        <v>573</v>
      </c>
      <c r="F39" s="4" t="s">
        <v>575</v>
      </c>
    </row>
    <row r="40" ht="15.75" customHeight="1">
      <c r="D40" s="9" t="s">
        <v>576</v>
      </c>
      <c r="E40" s="5">
        <f>SUMIF($F$6:$F$34,"SV1",$H$6:$H$34)</f>
        <v>24</v>
      </c>
      <c r="F40" s="24">
        <f t="shared" ref="F40:F44" si="3">E40/$H$35</f>
        <v>0.1935483871</v>
      </c>
    </row>
    <row r="41" ht="15.75" customHeight="1">
      <c r="D41" s="9" t="s">
        <v>584</v>
      </c>
      <c r="E41" s="5">
        <f>SUMIF($F$6:$F$34,"SV2",$H$6:$H$34)</f>
        <v>26</v>
      </c>
      <c r="F41" s="24">
        <f t="shared" si="3"/>
        <v>0.2096774194</v>
      </c>
    </row>
    <row r="42" ht="15.75" customHeight="1">
      <c r="D42" s="9" t="s">
        <v>588</v>
      </c>
      <c r="E42" s="5">
        <f>SUMIF($F$6:$F$34,"SV3",$H$6:$H$34)</f>
        <v>25</v>
      </c>
      <c r="F42" s="24">
        <f t="shared" si="3"/>
        <v>0.2016129032</v>
      </c>
    </row>
    <row r="43" ht="15.75" customHeight="1">
      <c r="D43" s="9" t="s">
        <v>594</v>
      </c>
      <c r="E43" s="5">
        <f>SUMIF($F$6:$F$34,"SV4",$H$6:$H$34)</f>
        <v>26</v>
      </c>
      <c r="F43" s="24">
        <f t="shared" si="3"/>
        <v>0.2096774194</v>
      </c>
    </row>
    <row r="44" ht="15.75" customHeight="1">
      <c r="D44" s="9" t="s">
        <v>599</v>
      </c>
      <c r="E44" s="5">
        <f>SUMIF($F$6:$F$34,"SV5",$H$6:$H$34)</f>
        <v>23</v>
      </c>
      <c r="F44" s="24">
        <f t="shared" si="3"/>
        <v>0.185483871</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3">
    <mergeCell ref="A22:A26"/>
    <mergeCell ref="B22:B26"/>
    <mergeCell ref="A27:A31"/>
    <mergeCell ref="B27:B31"/>
    <mergeCell ref="A32:A34"/>
    <mergeCell ref="B32:B34"/>
    <mergeCell ref="B2:M2"/>
    <mergeCell ref="A6:A10"/>
    <mergeCell ref="B6:B10"/>
    <mergeCell ref="A11:A15"/>
    <mergeCell ref="B11:B15"/>
    <mergeCell ref="A16:A21"/>
    <mergeCell ref="B16:B21"/>
  </mergeCells>
  <dataValidations>
    <dataValidation type="list" allowBlank="1" sqref="F6:F34">
      <formula1>"SV1,SV2,SV3,SV4,SV5"</formula1>
    </dataValidation>
    <dataValidation type="list" allowBlank="1" sqref="G6:G34">
      <formula1>"To do,In progress,Done"</formula1>
    </dataValidation>
  </dataValidation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10.0"/>
    <col customWidth="1" min="2" max="2" width="40.0"/>
    <col customWidth="1" min="3" max="3" width="9.0"/>
    <col customWidth="1" min="4" max="4" width="34.0"/>
    <col customWidth="1" min="5" max="5" width="46.0"/>
    <col customWidth="1" min="6" max="6" width="8.0"/>
    <col customWidth="1" min="7" max="7" width="11.0"/>
    <col customWidth="1" min="8" max="8" width="12.0"/>
    <col customWidth="1" min="9" max="9" width="10.0"/>
    <col customWidth="1" min="10" max="24" width="8.0"/>
    <col customWidth="1" min="25" max="26" width="8.71"/>
  </cols>
  <sheetData>
    <row r="1">
      <c r="A1" s="1" t="s">
        <v>323</v>
      </c>
    </row>
    <row r="2" ht="44.25" customHeight="1">
      <c r="A2" s="6" t="s">
        <v>159</v>
      </c>
      <c r="B2" s="25" t="str">
        <f>'Sprint planning'!E14</f>
        <v>Chúng ta tập trung vào học viên tìm đúng gia sư theo môn và học phí rồi đặt được buổi học vào khung giờ rảnh của gia sư, và gia sư xác nhận được yêu cầu. Chúng ta tin điều này mang lại lịch học chắc chắn, không trùng giờ và đỡ mất thời gian tìm gia sư cho học viên và gia sư. Điều này sẽ được xác nhận khi một học viên thử lọc theo môn và khoảng giá (≤ 2 giây với 500 hồ sơ mẫu) và đặt một khung giờ; hai học viên cùng đặt một khung giờ thì chỉ một người thành công; gia sư chấp nhận để booking thành "Đã xác nhận" (phát hành V1.0).</v>
      </c>
      <c r="C2" s="20"/>
      <c r="D2" s="20"/>
      <c r="E2" s="20"/>
      <c r="F2" s="20"/>
      <c r="G2" s="20"/>
      <c r="H2" s="20"/>
      <c r="I2" s="20"/>
      <c r="J2" s="20"/>
      <c r="K2" s="20"/>
      <c r="L2" s="20"/>
      <c r="M2" s="20"/>
    </row>
    <row r="3">
      <c r="J3" s="3" t="s">
        <v>257</v>
      </c>
    </row>
    <row r="4" ht="31.5" customHeight="1">
      <c r="A4" s="4" t="s">
        <v>44</v>
      </c>
      <c r="B4" s="4" t="s">
        <v>260</v>
      </c>
      <c r="C4" s="4" t="s">
        <v>261</v>
      </c>
      <c r="D4" s="4" t="s">
        <v>262</v>
      </c>
      <c r="E4" s="4" t="s">
        <v>265</v>
      </c>
      <c r="F4" s="4" t="s">
        <v>266</v>
      </c>
      <c r="G4" s="4" t="s">
        <v>18</v>
      </c>
      <c r="H4" s="4" t="s">
        <v>65</v>
      </c>
      <c r="I4" s="4" t="s">
        <v>267</v>
      </c>
      <c r="J4" s="4" t="s">
        <v>268</v>
      </c>
      <c r="K4" s="4" t="s">
        <v>269</v>
      </c>
      <c r="L4" s="4" t="s">
        <v>270</v>
      </c>
      <c r="M4" s="4" t="s">
        <v>271</v>
      </c>
      <c r="N4" s="4" t="s">
        <v>272</v>
      </c>
      <c r="O4" s="4" t="s">
        <v>273</v>
      </c>
      <c r="P4" s="4" t="s">
        <v>274</v>
      </c>
      <c r="Q4" s="4" t="s">
        <v>275</v>
      </c>
      <c r="R4" s="4" t="s">
        <v>276</v>
      </c>
      <c r="S4" s="4" t="s">
        <v>277</v>
      </c>
      <c r="T4" s="4" t="s">
        <v>278</v>
      </c>
      <c r="U4" s="4" t="s">
        <v>279</v>
      </c>
      <c r="V4" s="4" t="s">
        <v>280</v>
      </c>
      <c r="W4" s="4" t="s">
        <v>282</v>
      </c>
      <c r="X4" s="4" t="s">
        <v>283</v>
      </c>
    </row>
    <row r="5" ht="42.0" customHeight="1">
      <c r="A5" s="32" t="s">
        <v>337</v>
      </c>
      <c r="B5" s="33" t="s">
        <v>339</v>
      </c>
      <c r="C5" s="5" t="s">
        <v>343</v>
      </c>
      <c r="D5" s="9" t="s">
        <v>345</v>
      </c>
      <c r="E5" s="9" t="s">
        <v>346</v>
      </c>
      <c r="F5" s="16" t="s">
        <v>58</v>
      </c>
      <c r="G5" s="5" t="s">
        <v>68</v>
      </c>
      <c r="H5" s="16">
        <v>8.0</v>
      </c>
      <c r="I5" s="16"/>
      <c r="J5" s="16"/>
      <c r="K5" s="16"/>
      <c r="L5" s="16"/>
      <c r="M5" s="16"/>
      <c r="N5" s="16"/>
      <c r="O5" s="16"/>
      <c r="P5" s="16"/>
      <c r="Q5" s="16"/>
      <c r="R5" s="16"/>
      <c r="S5" s="16"/>
      <c r="T5" s="16"/>
      <c r="U5" s="16"/>
      <c r="V5" s="16"/>
      <c r="W5" s="16"/>
      <c r="X5" s="16"/>
    </row>
    <row r="6" ht="42.0" customHeight="1">
      <c r="A6" s="34"/>
      <c r="B6" s="34"/>
      <c r="C6" s="5" t="s">
        <v>350</v>
      </c>
      <c r="D6" s="9" t="s">
        <v>351</v>
      </c>
      <c r="E6" s="9" t="s">
        <v>352</v>
      </c>
      <c r="F6" s="16" t="s">
        <v>72</v>
      </c>
      <c r="G6" s="5" t="s">
        <v>68</v>
      </c>
      <c r="H6" s="16">
        <v>4.0</v>
      </c>
      <c r="I6" s="16"/>
      <c r="J6" s="16"/>
      <c r="K6" s="16"/>
      <c r="L6" s="16"/>
      <c r="M6" s="16"/>
      <c r="N6" s="16"/>
      <c r="O6" s="16"/>
      <c r="P6" s="16"/>
      <c r="Q6" s="16"/>
      <c r="R6" s="16"/>
      <c r="S6" s="16"/>
      <c r="T6" s="16"/>
      <c r="U6" s="16"/>
      <c r="V6" s="16"/>
      <c r="W6" s="16"/>
      <c r="X6" s="16"/>
    </row>
    <row r="7" ht="42.0" customHeight="1">
      <c r="A7" s="34"/>
      <c r="B7" s="34"/>
      <c r="C7" s="5" t="s">
        <v>359</v>
      </c>
      <c r="D7" s="9" t="s">
        <v>361</v>
      </c>
      <c r="E7" s="9" t="s">
        <v>362</v>
      </c>
      <c r="F7" s="16" t="s">
        <v>67</v>
      </c>
      <c r="G7" s="5" t="s">
        <v>68</v>
      </c>
      <c r="H7" s="16">
        <v>10.0</v>
      </c>
      <c r="I7" s="16"/>
      <c r="J7" s="16"/>
      <c r="K7" s="16"/>
      <c r="L7" s="16"/>
      <c r="M7" s="16"/>
      <c r="N7" s="16"/>
      <c r="O7" s="16"/>
      <c r="P7" s="16"/>
      <c r="Q7" s="16"/>
      <c r="R7" s="16"/>
      <c r="S7" s="16"/>
      <c r="T7" s="16"/>
      <c r="U7" s="16"/>
      <c r="V7" s="16"/>
      <c r="W7" s="16"/>
      <c r="X7" s="16"/>
    </row>
    <row r="8" ht="30.0" customHeight="1">
      <c r="A8" s="34"/>
      <c r="B8" s="34"/>
      <c r="C8" s="5" t="s">
        <v>365</v>
      </c>
      <c r="D8" s="9" t="s">
        <v>366</v>
      </c>
      <c r="E8" s="9" t="s">
        <v>367</v>
      </c>
      <c r="F8" s="16" t="s">
        <v>50</v>
      </c>
      <c r="G8" s="5" t="s">
        <v>68</v>
      </c>
      <c r="H8" s="16">
        <v>3.0</v>
      </c>
      <c r="I8" s="16"/>
      <c r="J8" s="16"/>
      <c r="K8" s="16"/>
      <c r="L8" s="16"/>
      <c r="M8" s="16"/>
      <c r="N8" s="16"/>
      <c r="O8" s="16"/>
      <c r="P8" s="16"/>
      <c r="Q8" s="16"/>
      <c r="R8" s="16"/>
      <c r="S8" s="16"/>
      <c r="T8" s="16"/>
      <c r="U8" s="16"/>
      <c r="V8" s="16"/>
      <c r="W8" s="16"/>
      <c r="X8" s="16"/>
    </row>
    <row r="9" ht="30.0" customHeight="1">
      <c r="A9" s="34"/>
      <c r="B9" s="34"/>
      <c r="C9" s="5" t="s">
        <v>370</v>
      </c>
      <c r="D9" s="9" t="s">
        <v>372</v>
      </c>
      <c r="E9" s="9" t="s">
        <v>374</v>
      </c>
      <c r="F9" s="16" t="s">
        <v>25</v>
      </c>
      <c r="G9" s="5" t="s">
        <v>68</v>
      </c>
      <c r="H9" s="16">
        <v>4.0</v>
      </c>
      <c r="I9" s="16"/>
      <c r="J9" s="16"/>
      <c r="K9" s="16"/>
      <c r="L9" s="16"/>
      <c r="M9" s="16"/>
      <c r="N9" s="16"/>
      <c r="O9" s="16"/>
      <c r="P9" s="16"/>
      <c r="Q9" s="16"/>
      <c r="R9" s="16"/>
      <c r="S9" s="16"/>
      <c r="T9" s="16"/>
      <c r="U9" s="16"/>
      <c r="V9" s="16"/>
      <c r="W9" s="16"/>
      <c r="X9" s="16"/>
    </row>
    <row r="10" ht="30.0" customHeight="1">
      <c r="A10" s="35"/>
      <c r="B10" s="35"/>
      <c r="C10" s="5" t="s">
        <v>379</v>
      </c>
      <c r="D10" s="9" t="s">
        <v>335</v>
      </c>
      <c r="E10" s="9" t="s">
        <v>364</v>
      </c>
      <c r="F10" s="16" t="s">
        <v>50</v>
      </c>
      <c r="G10" s="5" t="s">
        <v>68</v>
      </c>
      <c r="H10" s="16">
        <v>3.0</v>
      </c>
      <c r="I10" s="16"/>
      <c r="J10" s="16"/>
      <c r="K10" s="16"/>
      <c r="L10" s="16"/>
      <c r="M10" s="16"/>
      <c r="N10" s="16"/>
      <c r="O10" s="16"/>
      <c r="P10" s="16"/>
      <c r="Q10" s="16"/>
      <c r="R10" s="16"/>
      <c r="S10" s="16"/>
      <c r="T10" s="16"/>
      <c r="U10" s="16"/>
      <c r="V10" s="16"/>
      <c r="W10" s="16"/>
      <c r="X10" s="16"/>
    </row>
    <row r="11" ht="30.0" customHeight="1">
      <c r="A11" s="32" t="s">
        <v>383</v>
      </c>
      <c r="B11" s="33" t="s">
        <v>384</v>
      </c>
      <c r="C11" s="5" t="s">
        <v>388</v>
      </c>
      <c r="D11" s="9" t="s">
        <v>389</v>
      </c>
      <c r="E11" s="9" t="s">
        <v>390</v>
      </c>
      <c r="F11" s="16" t="s">
        <v>72</v>
      </c>
      <c r="G11" s="5" t="s">
        <v>68</v>
      </c>
      <c r="H11" s="16">
        <v>4.0</v>
      </c>
      <c r="I11" s="16"/>
      <c r="J11" s="16"/>
      <c r="K11" s="16"/>
      <c r="L11" s="16"/>
      <c r="M11" s="16"/>
      <c r="N11" s="16"/>
      <c r="O11" s="16"/>
      <c r="P11" s="16"/>
      <c r="Q11" s="16"/>
      <c r="R11" s="16"/>
      <c r="S11" s="16"/>
      <c r="T11" s="16"/>
      <c r="U11" s="16"/>
      <c r="V11" s="16"/>
      <c r="W11" s="16"/>
      <c r="X11" s="16"/>
    </row>
    <row r="12" ht="42.0" customHeight="1">
      <c r="A12" s="34"/>
      <c r="B12" s="34"/>
      <c r="C12" s="5" t="s">
        <v>394</v>
      </c>
      <c r="D12" s="9" t="s">
        <v>395</v>
      </c>
      <c r="E12" s="9" t="s">
        <v>396</v>
      </c>
      <c r="F12" s="16" t="s">
        <v>58</v>
      </c>
      <c r="G12" s="5" t="s">
        <v>68</v>
      </c>
      <c r="H12" s="16">
        <v>8.0</v>
      </c>
      <c r="I12" s="16"/>
      <c r="J12" s="16"/>
      <c r="K12" s="16"/>
      <c r="L12" s="16"/>
      <c r="M12" s="16"/>
      <c r="N12" s="16"/>
      <c r="O12" s="16"/>
      <c r="P12" s="16"/>
      <c r="Q12" s="16"/>
      <c r="R12" s="16"/>
      <c r="S12" s="16"/>
      <c r="T12" s="16"/>
      <c r="U12" s="16"/>
      <c r="V12" s="16"/>
      <c r="W12" s="16"/>
      <c r="X12" s="16"/>
    </row>
    <row r="13" ht="42.0" customHeight="1">
      <c r="A13" s="34"/>
      <c r="B13" s="34"/>
      <c r="C13" s="5" t="s">
        <v>397</v>
      </c>
      <c r="D13" s="9" t="s">
        <v>398</v>
      </c>
      <c r="E13" s="9" t="s">
        <v>399</v>
      </c>
      <c r="F13" s="16" t="s">
        <v>67</v>
      </c>
      <c r="G13" s="5" t="s">
        <v>68</v>
      </c>
      <c r="H13" s="16">
        <v>10.0</v>
      </c>
      <c r="I13" s="16"/>
      <c r="J13" s="16"/>
      <c r="K13" s="16"/>
      <c r="L13" s="16"/>
      <c r="M13" s="16"/>
      <c r="N13" s="16"/>
      <c r="O13" s="16"/>
      <c r="P13" s="16"/>
      <c r="Q13" s="16"/>
      <c r="R13" s="16"/>
      <c r="S13" s="16"/>
      <c r="T13" s="16"/>
      <c r="U13" s="16"/>
      <c r="V13" s="16"/>
      <c r="W13" s="16"/>
      <c r="X13" s="16"/>
    </row>
    <row r="14" ht="30.0" customHeight="1">
      <c r="A14" s="34"/>
      <c r="B14" s="34"/>
      <c r="C14" s="5" t="s">
        <v>403</v>
      </c>
      <c r="D14" s="9" t="s">
        <v>404</v>
      </c>
      <c r="E14" s="9" t="s">
        <v>405</v>
      </c>
      <c r="F14" s="16" t="s">
        <v>72</v>
      </c>
      <c r="G14" s="5" t="s">
        <v>68</v>
      </c>
      <c r="H14" s="16">
        <v>3.0</v>
      </c>
      <c r="I14" s="16"/>
      <c r="J14" s="16"/>
      <c r="K14" s="16"/>
      <c r="L14" s="16"/>
      <c r="M14" s="16"/>
      <c r="N14" s="16"/>
      <c r="O14" s="16"/>
      <c r="P14" s="16"/>
      <c r="Q14" s="16"/>
      <c r="R14" s="16"/>
      <c r="S14" s="16"/>
      <c r="T14" s="16"/>
      <c r="U14" s="16"/>
      <c r="V14" s="16"/>
      <c r="W14" s="16"/>
      <c r="X14" s="16"/>
    </row>
    <row r="15" ht="30.0" customHeight="1">
      <c r="A15" s="34"/>
      <c r="B15" s="34"/>
      <c r="C15" s="5" t="s">
        <v>407</v>
      </c>
      <c r="D15" s="9" t="s">
        <v>408</v>
      </c>
      <c r="E15" s="9" t="s">
        <v>409</v>
      </c>
      <c r="F15" s="16" t="s">
        <v>25</v>
      </c>
      <c r="G15" s="5" t="s">
        <v>68</v>
      </c>
      <c r="H15" s="16">
        <v>4.0</v>
      </c>
      <c r="I15" s="16"/>
      <c r="J15" s="16"/>
      <c r="K15" s="16"/>
      <c r="L15" s="16"/>
      <c r="M15" s="16"/>
      <c r="N15" s="16"/>
      <c r="O15" s="16"/>
      <c r="P15" s="16"/>
      <c r="Q15" s="16"/>
      <c r="R15" s="16"/>
      <c r="S15" s="16"/>
      <c r="T15" s="16"/>
      <c r="U15" s="16"/>
      <c r="V15" s="16"/>
      <c r="W15" s="16"/>
      <c r="X15" s="16"/>
    </row>
    <row r="16" ht="30.0" customHeight="1">
      <c r="A16" s="35"/>
      <c r="B16" s="35"/>
      <c r="C16" s="5" t="s">
        <v>414</v>
      </c>
      <c r="D16" s="9" t="s">
        <v>415</v>
      </c>
      <c r="E16" s="9" t="s">
        <v>416</v>
      </c>
      <c r="F16" s="16" t="s">
        <v>50</v>
      </c>
      <c r="G16" s="5" t="s">
        <v>68</v>
      </c>
      <c r="H16" s="16">
        <v>3.0</v>
      </c>
      <c r="I16" s="16"/>
      <c r="J16" s="16"/>
      <c r="K16" s="16"/>
      <c r="L16" s="16"/>
      <c r="M16" s="16"/>
      <c r="N16" s="16"/>
      <c r="O16" s="16"/>
      <c r="P16" s="16"/>
      <c r="Q16" s="16"/>
      <c r="R16" s="16"/>
      <c r="S16" s="16"/>
      <c r="T16" s="16"/>
      <c r="U16" s="16"/>
      <c r="V16" s="16"/>
      <c r="W16" s="16"/>
      <c r="X16" s="16"/>
    </row>
    <row r="17" ht="42.0" customHeight="1">
      <c r="A17" s="32" t="s">
        <v>420</v>
      </c>
      <c r="B17" s="33" t="s">
        <v>421</v>
      </c>
      <c r="C17" s="5" t="s">
        <v>422</v>
      </c>
      <c r="D17" s="9" t="s">
        <v>423</v>
      </c>
      <c r="E17" s="9" t="s">
        <v>424</v>
      </c>
      <c r="F17" s="16" t="s">
        <v>72</v>
      </c>
      <c r="G17" s="5" t="s">
        <v>68</v>
      </c>
      <c r="H17" s="16">
        <v>4.0</v>
      </c>
      <c r="I17" s="16"/>
      <c r="J17" s="16"/>
      <c r="K17" s="16"/>
      <c r="L17" s="16"/>
      <c r="M17" s="16"/>
      <c r="N17" s="16"/>
      <c r="O17" s="16"/>
      <c r="P17" s="16"/>
      <c r="Q17" s="16"/>
      <c r="R17" s="16"/>
      <c r="S17" s="16"/>
      <c r="T17" s="16"/>
      <c r="U17" s="16"/>
      <c r="V17" s="16"/>
      <c r="W17" s="16"/>
      <c r="X17" s="16"/>
    </row>
    <row r="18" ht="42.0" customHeight="1">
      <c r="A18" s="34"/>
      <c r="B18" s="34"/>
      <c r="C18" s="5" t="s">
        <v>428</v>
      </c>
      <c r="D18" s="9" t="s">
        <v>429</v>
      </c>
      <c r="E18" s="9" t="s">
        <v>430</v>
      </c>
      <c r="F18" s="16" t="s">
        <v>50</v>
      </c>
      <c r="G18" s="5" t="s">
        <v>68</v>
      </c>
      <c r="H18" s="16">
        <v>10.0</v>
      </c>
      <c r="I18" s="16"/>
      <c r="J18" s="16"/>
      <c r="K18" s="16"/>
      <c r="L18" s="16"/>
      <c r="M18" s="16"/>
      <c r="N18" s="16"/>
      <c r="O18" s="16"/>
      <c r="P18" s="16"/>
      <c r="Q18" s="16"/>
      <c r="R18" s="16"/>
      <c r="S18" s="16"/>
      <c r="T18" s="16"/>
      <c r="U18" s="16"/>
      <c r="V18" s="16"/>
      <c r="W18" s="16"/>
      <c r="X18" s="16"/>
    </row>
    <row r="19" ht="42.0" customHeight="1">
      <c r="A19" s="34"/>
      <c r="B19" s="34"/>
      <c r="C19" s="5" t="s">
        <v>431</v>
      </c>
      <c r="D19" s="9" t="s">
        <v>432</v>
      </c>
      <c r="E19" s="9" t="s">
        <v>433</v>
      </c>
      <c r="F19" s="16" t="s">
        <v>25</v>
      </c>
      <c r="G19" s="5" t="s">
        <v>68</v>
      </c>
      <c r="H19" s="16">
        <v>8.0</v>
      </c>
      <c r="I19" s="16"/>
      <c r="J19" s="16"/>
      <c r="K19" s="16"/>
      <c r="L19" s="16"/>
      <c r="M19" s="16"/>
      <c r="N19" s="16"/>
      <c r="O19" s="16"/>
      <c r="P19" s="16"/>
      <c r="Q19" s="16"/>
      <c r="R19" s="16"/>
      <c r="S19" s="16"/>
      <c r="T19" s="16"/>
      <c r="U19" s="16"/>
      <c r="V19" s="16"/>
      <c r="W19" s="16"/>
      <c r="X19" s="16"/>
    </row>
    <row r="20" ht="30.0" customHeight="1">
      <c r="A20" s="34"/>
      <c r="B20" s="34"/>
      <c r="C20" s="5" t="s">
        <v>439</v>
      </c>
      <c r="D20" s="9" t="s">
        <v>440</v>
      </c>
      <c r="E20" s="9" t="s">
        <v>441</v>
      </c>
      <c r="F20" s="16" t="s">
        <v>72</v>
      </c>
      <c r="G20" s="5" t="s">
        <v>68</v>
      </c>
      <c r="H20" s="16">
        <v>3.0</v>
      </c>
      <c r="I20" s="16"/>
      <c r="J20" s="16"/>
      <c r="K20" s="16"/>
      <c r="L20" s="16"/>
      <c r="M20" s="16"/>
      <c r="N20" s="16"/>
      <c r="O20" s="16"/>
      <c r="P20" s="16"/>
      <c r="Q20" s="16"/>
      <c r="R20" s="16"/>
      <c r="S20" s="16"/>
      <c r="T20" s="16"/>
      <c r="U20" s="16"/>
      <c r="V20" s="16"/>
      <c r="W20" s="16"/>
      <c r="X20" s="16"/>
    </row>
    <row r="21" ht="30.0" customHeight="1">
      <c r="A21" s="34"/>
      <c r="B21" s="34"/>
      <c r="C21" s="5" t="s">
        <v>445</v>
      </c>
      <c r="D21" s="9" t="s">
        <v>446</v>
      </c>
      <c r="E21" s="9" t="s">
        <v>447</v>
      </c>
      <c r="F21" s="16" t="s">
        <v>25</v>
      </c>
      <c r="G21" s="5" t="s">
        <v>68</v>
      </c>
      <c r="H21" s="16">
        <v>4.0</v>
      </c>
      <c r="I21" s="16"/>
      <c r="J21" s="16"/>
      <c r="K21" s="16"/>
      <c r="L21" s="16"/>
      <c r="M21" s="16"/>
      <c r="N21" s="16"/>
      <c r="O21" s="16"/>
      <c r="P21" s="16"/>
      <c r="Q21" s="16"/>
      <c r="R21" s="16"/>
      <c r="S21" s="16"/>
      <c r="T21" s="16"/>
      <c r="U21" s="16"/>
      <c r="V21" s="16"/>
      <c r="W21" s="16"/>
      <c r="X21" s="16"/>
    </row>
    <row r="22" ht="30.0" customHeight="1">
      <c r="A22" s="35"/>
      <c r="B22" s="35"/>
      <c r="C22" s="5" t="s">
        <v>448</v>
      </c>
      <c r="D22" s="9" t="s">
        <v>335</v>
      </c>
      <c r="E22" s="9" t="s">
        <v>364</v>
      </c>
      <c r="F22" s="16" t="s">
        <v>50</v>
      </c>
      <c r="G22" s="5" t="s">
        <v>68</v>
      </c>
      <c r="H22" s="16">
        <v>3.0</v>
      </c>
      <c r="I22" s="16"/>
      <c r="J22" s="16"/>
      <c r="K22" s="16"/>
      <c r="L22" s="16"/>
      <c r="M22" s="16"/>
      <c r="N22" s="16"/>
      <c r="O22" s="16"/>
      <c r="P22" s="16"/>
      <c r="Q22" s="16"/>
      <c r="R22" s="16"/>
      <c r="S22" s="16"/>
      <c r="T22" s="16"/>
      <c r="U22" s="16"/>
      <c r="V22" s="16"/>
      <c r="W22" s="16"/>
      <c r="X22" s="16"/>
    </row>
    <row r="23" ht="30.0" customHeight="1">
      <c r="A23" s="32" t="s">
        <v>455</v>
      </c>
      <c r="B23" s="33" t="s">
        <v>456</v>
      </c>
      <c r="C23" s="5" t="s">
        <v>459</v>
      </c>
      <c r="D23" s="9" t="s">
        <v>461</v>
      </c>
      <c r="E23" s="9" t="s">
        <v>462</v>
      </c>
      <c r="F23" s="16" t="s">
        <v>67</v>
      </c>
      <c r="G23" s="5" t="s">
        <v>68</v>
      </c>
      <c r="H23" s="16">
        <v>5.0</v>
      </c>
      <c r="I23" s="16"/>
      <c r="J23" s="16"/>
      <c r="K23" s="16"/>
      <c r="L23" s="16"/>
      <c r="M23" s="16"/>
      <c r="N23" s="16"/>
      <c r="O23" s="16"/>
      <c r="P23" s="16"/>
      <c r="Q23" s="16"/>
      <c r="R23" s="16"/>
      <c r="S23" s="16"/>
      <c r="T23" s="16"/>
      <c r="U23" s="16"/>
      <c r="V23" s="16"/>
      <c r="W23" s="16"/>
      <c r="X23" s="16"/>
    </row>
    <row r="24" ht="42.0" customHeight="1">
      <c r="A24" s="34"/>
      <c r="B24" s="34"/>
      <c r="C24" s="5" t="s">
        <v>465</v>
      </c>
      <c r="D24" s="9" t="s">
        <v>467</v>
      </c>
      <c r="E24" s="9" t="s">
        <v>468</v>
      </c>
      <c r="F24" s="16" t="s">
        <v>58</v>
      </c>
      <c r="G24" s="5" t="s">
        <v>68</v>
      </c>
      <c r="H24" s="16">
        <v>6.0</v>
      </c>
      <c r="I24" s="16"/>
      <c r="J24" s="16"/>
      <c r="K24" s="16"/>
      <c r="L24" s="16"/>
      <c r="M24" s="16"/>
      <c r="N24" s="16"/>
      <c r="O24" s="16"/>
      <c r="P24" s="16"/>
      <c r="Q24" s="16"/>
      <c r="R24" s="16"/>
      <c r="S24" s="16"/>
      <c r="T24" s="16"/>
      <c r="U24" s="16"/>
      <c r="V24" s="16"/>
      <c r="W24" s="16"/>
      <c r="X24" s="16"/>
    </row>
    <row r="25" ht="30.0" customHeight="1">
      <c r="A25" s="34"/>
      <c r="B25" s="34"/>
      <c r="C25" s="5" t="s">
        <v>472</v>
      </c>
      <c r="D25" s="9" t="s">
        <v>474</v>
      </c>
      <c r="E25" s="9" t="s">
        <v>476</v>
      </c>
      <c r="F25" s="16" t="s">
        <v>72</v>
      </c>
      <c r="G25" s="5" t="s">
        <v>68</v>
      </c>
      <c r="H25" s="16">
        <v>5.0</v>
      </c>
      <c r="I25" s="16"/>
      <c r="J25" s="16"/>
      <c r="K25" s="16"/>
      <c r="L25" s="16"/>
      <c r="M25" s="16"/>
      <c r="N25" s="16"/>
      <c r="O25" s="16"/>
      <c r="P25" s="16"/>
      <c r="Q25" s="16"/>
      <c r="R25" s="16"/>
      <c r="S25" s="16"/>
      <c r="T25" s="16"/>
      <c r="U25" s="16"/>
      <c r="V25" s="16"/>
      <c r="W25" s="16"/>
      <c r="X25" s="16"/>
    </row>
    <row r="26" ht="30.0" customHeight="1">
      <c r="A26" s="35"/>
      <c r="B26" s="35"/>
      <c r="C26" s="5" t="s">
        <v>480</v>
      </c>
      <c r="D26" s="9" t="s">
        <v>481</v>
      </c>
      <c r="E26" s="9" t="s">
        <v>483</v>
      </c>
      <c r="F26" s="16" t="s">
        <v>25</v>
      </c>
      <c r="G26" s="5" t="s">
        <v>68</v>
      </c>
      <c r="H26" s="16">
        <v>4.0</v>
      </c>
      <c r="I26" s="16"/>
      <c r="J26" s="16"/>
      <c r="K26" s="16"/>
      <c r="L26" s="16"/>
      <c r="M26" s="16"/>
      <c r="N26" s="16"/>
      <c r="O26" s="16"/>
      <c r="P26" s="16"/>
      <c r="Q26" s="16"/>
      <c r="R26" s="16"/>
      <c r="S26" s="16"/>
      <c r="T26" s="16"/>
      <c r="U26" s="16"/>
      <c r="V26" s="16"/>
      <c r="W26" s="16"/>
      <c r="X26" s="16"/>
    </row>
    <row r="27" ht="15.75" customHeight="1">
      <c r="G27" s="27" t="s">
        <v>317</v>
      </c>
      <c r="H27" s="27">
        <f t="shared" ref="H27:I27" si="1">SUM(H5:H26)</f>
        <v>116</v>
      </c>
      <c r="I27" s="27">
        <f t="shared" si="1"/>
        <v>0</v>
      </c>
      <c r="J27" s="27" t="str">
        <f t="shared" ref="J27:X27" si="2">IF(COUNT(J5:J26)=0,"",SUM(J5:J26))</f>
        <v/>
      </c>
      <c r="K27" s="27" t="str">
        <f t="shared" si="2"/>
        <v/>
      </c>
      <c r="L27" s="27" t="str">
        <f t="shared" si="2"/>
        <v/>
      </c>
      <c r="M27" s="27" t="str">
        <f t="shared" si="2"/>
        <v/>
      </c>
      <c r="N27" s="27" t="str">
        <f t="shared" si="2"/>
        <v/>
      </c>
      <c r="O27" s="27" t="str">
        <f t="shared" si="2"/>
        <v/>
      </c>
      <c r="P27" s="27" t="str">
        <f t="shared" si="2"/>
        <v/>
      </c>
      <c r="Q27" s="27" t="str">
        <f t="shared" si="2"/>
        <v/>
      </c>
      <c r="R27" s="27" t="str">
        <f t="shared" si="2"/>
        <v/>
      </c>
      <c r="S27" s="27" t="str">
        <f t="shared" si="2"/>
        <v/>
      </c>
      <c r="T27" s="27" t="str">
        <f t="shared" si="2"/>
        <v/>
      </c>
      <c r="U27" s="27" t="str">
        <f t="shared" si="2"/>
        <v/>
      </c>
      <c r="V27" s="27" t="str">
        <f t="shared" si="2"/>
        <v/>
      </c>
      <c r="W27" s="27" t="str">
        <f t="shared" si="2"/>
        <v/>
      </c>
      <c r="X27" s="27" t="str">
        <f t="shared" si="2"/>
        <v/>
      </c>
    </row>
    <row r="28" ht="15.75" customHeight="1">
      <c r="G28" s="27" t="s">
        <v>512</v>
      </c>
      <c r="H28" s="27">
        <f>H27</f>
        <v>116</v>
      </c>
      <c r="J28" s="38">
        <f>$H$27-$H$27*1/15</f>
        <v>108.2666667</v>
      </c>
      <c r="K28" s="38">
        <f>$H$27-$H$27*2/15</f>
        <v>100.5333333</v>
      </c>
      <c r="L28" s="38">
        <f>$H$27-$H$27*3/15</f>
        <v>92.8</v>
      </c>
      <c r="M28" s="38">
        <f>$H$27-$H$27*4/15</f>
        <v>85.06666667</v>
      </c>
      <c r="N28" s="38">
        <f>$H$27-$H$27*5/15</f>
        <v>77.33333333</v>
      </c>
      <c r="O28" s="38">
        <f>$H$27-$H$27*6/15</f>
        <v>69.6</v>
      </c>
      <c r="P28" s="38">
        <f>$H$27-$H$27*7/15</f>
        <v>61.86666667</v>
      </c>
      <c r="Q28" s="38">
        <f>$H$27-$H$27*8/15</f>
        <v>54.13333333</v>
      </c>
      <c r="R28" s="38">
        <f>$H$27-$H$27*9/15</f>
        <v>46.4</v>
      </c>
      <c r="S28" s="38">
        <f>$H$27-$H$27*10/15</f>
        <v>38.66666667</v>
      </c>
      <c r="T28" s="38">
        <f>$H$27-$H$27*11/15</f>
        <v>30.93333333</v>
      </c>
      <c r="U28" s="38">
        <f>$H$27-$H$27*12/15</f>
        <v>23.2</v>
      </c>
      <c r="V28" s="38">
        <f>$H$27-$H$27*13/15</f>
        <v>15.46666667</v>
      </c>
      <c r="W28" s="38">
        <f>$H$27-$H$27*14/15</f>
        <v>7.733333333</v>
      </c>
      <c r="X28" s="38">
        <f>$H$27-$H$27*15/15</f>
        <v>0</v>
      </c>
    </row>
    <row r="29" ht="15.75" customHeight="1"/>
    <row r="30" ht="15.75" customHeight="1">
      <c r="D30" s="22" t="s">
        <v>571</v>
      </c>
    </row>
    <row r="31" ht="31.5" customHeight="1">
      <c r="D31" s="4" t="s">
        <v>266</v>
      </c>
      <c r="E31" s="4" t="s">
        <v>573</v>
      </c>
      <c r="F31" s="4" t="s">
        <v>575</v>
      </c>
    </row>
    <row r="32" ht="15.75" customHeight="1">
      <c r="D32" s="9" t="s">
        <v>576</v>
      </c>
      <c r="E32" s="5">
        <f>SUMIF($F$5:$F$26,"SV1",$H$5:$H$26)</f>
        <v>24</v>
      </c>
      <c r="F32" s="24">
        <f t="shared" ref="F32:F36" si="3">E32/$H$27</f>
        <v>0.2068965517</v>
      </c>
    </row>
    <row r="33" ht="15.75" customHeight="1">
      <c r="D33" s="9" t="s">
        <v>584</v>
      </c>
      <c r="E33" s="5">
        <f>SUMIF($F$5:$F$26,"SV2",$H$5:$H$26)</f>
        <v>22</v>
      </c>
      <c r="F33" s="24">
        <f t="shared" si="3"/>
        <v>0.1896551724</v>
      </c>
    </row>
    <row r="34" ht="15.75" customHeight="1">
      <c r="D34" s="9" t="s">
        <v>588</v>
      </c>
      <c r="E34" s="5">
        <f>SUMIF($F$5:$F$26,"SV3",$H$5:$H$26)</f>
        <v>22</v>
      </c>
      <c r="F34" s="24">
        <f t="shared" si="3"/>
        <v>0.1896551724</v>
      </c>
    </row>
    <row r="35" ht="15.75" customHeight="1">
      <c r="D35" s="9" t="s">
        <v>594</v>
      </c>
      <c r="E35" s="5">
        <f>SUMIF($F$5:$F$26,"SV4",$H$5:$H$26)</f>
        <v>25</v>
      </c>
      <c r="F35" s="24">
        <f t="shared" si="3"/>
        <v>0.2155172414</v>
      </c>
    </row>
    <row r="36" ht="15.75" customHeight="1">
      <c r="D36" s="9" t="s">
        <v>599</v>
      </c>
      <c r="E36" s="5">
        <f>SUMIF($F$5:$F$26,"SV5",$H$5:$H$26)</f>
        <v>23</v>
      </c>
      <c r="F36" s="24">
        <f t="shared" si="3"/>
        <v>0.1982758621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
    <mergeCell ref="A23:A26"/>
    <mergeCell ref="B23:B26"/>
    <mergeCell ref="B2:M2"/>
    <mergeCell ref="A5:A10"/>
    <mergeCell ref="B5:B10"/>
    <mergeCell ref="A11:A16"/>
    <mergeCell ref="B11:B16"/>
    <mergeCell ref="A17:A22"/>
    <mergeCell ref="B17:B22"/>
  </mergeCells>
  <dataValidations>
    <dataValidation type="list" allowBlank="1" sqref="F5:F26">
      <formula1>"SV1,SV2,SV3,SV4,SV5"</formula1>
    </dataValidation>
    <dataValidation type="list" allowBlank="1" sqref="G5:G26">
      <formula1>"To do,In progress,Done"</formula1>
    </dataValidation>
  </dataValidation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10.0"/>
    <col customWidth="1" min="2" max="2" width="40.0"/>
    <col customWidth="1" min="3" max="3" width="9.0"/>
    <col customWidth="1" min="4" max="4" width="34.0"/>
    <col customWidth="1" min="5" max="5" width="46.0"/>
    <col customWidth="1" min="6" max="6" width="8.0"/>
    <col customWidth="1" min="7" max="7" width="11.0"/>
    <col customWidth="1" min="8" max="8" width="12.0"/>
    <col customWidth="1" min="9" max="9" width="10.0"/>
    <col customWidth="1" min="10" max="24" width="8.0"/>
    <col customWidth="1" min="25" max="26" width="8.71"/>
  </cols>
  <sheetData>
    <row r="1">
      <c r="A1" s="1" t="s">
        <v>358</v>
      </c>
    </row>
    <row r="2" ht="66.0" customHeight="1">
      <c r="A2" s="6" t="s">
        <v>159</v>
      </c>
      <c r="B2" s="25" t="str">
        <f>'Sprint planning'!E15</f>
        <v>Chúng ta tập trung vào học viên thanh toán online và vào học video ngay trên web, và bản V2.0 sẵn sàng cho người dùng thật. Chúng ta tin điều này mang lại khả năng giữ chỗ buổi học không cần tiền mặt và học không phải cài thêm phần mềm cho học viên và gia sư. Điều này sẽ được xác nhận khi ≥ 5 người dùng thử hoàn thành trọn luồng đăng ký → tìm → đặt → thanh toán  → vào cùng phòng học đúng giờ trên bản chạy HTTPS .</v>
      </c>
      <c r="C2" s="20"/>
      <c r="D2" s="20"/>
      <c r="E2" s="20"/>
      <c r="F2" s="20"/>
      <c r="G2" s="20"/>
      <c r="H2" s="20"/>
      <c r="I2" s="20"/>
      <c r="J2" s="20"/>
      <c r="K2" s="20"/>
      <c r="L2" s="20"/>
      <c r="M2" s="20"/>
    </row>
    <row r="4">
      <c r="J4" s="3" t="s">
        <v>257</v>
      </c>
    </row>
    <row r="5" ht="31.5" customHeight="1">
      <c r="A5" s="4" t="s">
        <v>44</v>
      </c>
      <c r="B5" s="4" t="s">
        <v>260</v>
      </c>
      <c r="C5" s="4" t="s">
        <v>261</v>
      </c>
      <c r="D5" s="4" t="s">
        <v>262</v>
      </c>
      <c r="E5" s="4" t="s">
        <v>265</v>
      </c>
      <c r="F5" s="4" t="s">
        <v>266</v>
      </c>
      <c r="G5" s="4" t="s">
        <v>18</v>
      </c>
      <c r="H5" s="4" t="s">
        <v>65</v>
      </c>
      <c r="I5" s="4" t="s">
        <v>267</v>
      </c>
      <c r="J5" s="4" t="s">
        <v>268</v>
      </c>
      <c r="K5" s="4" t="s">
        <v>269</v>
      </c>
      <c r="L5" s="4" t="s">
        <v>270</v>
      </c>
      <c r="M5" s="4" t="s">
        <v>271</v>
      </c>
      <c r="N5" s="4" t="s">
        <v>272</v>
      </c>
      <c r="O5" s="4" t="s">
        <v>273</v>
      </c>
      <c r="P5" s="4" t="s">
        <v>274</v>
      </c>
      <c r="Q5" s="4" t="s">
        <v>275</v>
      </c>
      <c r="R5" s="4" t="s">
        <v>276</v>
      </c>
      <c r="S5" s="4" t="s">
        <v>277</v>
      </c>
      <c r="T5" s="4" t="s">
        <v>278</v>
      </c>
      <c r="U5" s="4" t="s">
        <v>279</v>
      </c>
      <c r="V5" s="4" t="s">
        <v>280</v>
      </c>
      <c r="W5" s="4" t="s">
        <v>282</v>
      </c>
      <c r="X5" s="4" t="s">
        <v>283</v>
      </c>
    </row>
    <row r="6">
      <c r="A6" s="29"/>
      <c r="B6" s="29"/>
      <c r="C6" s="29"/>
      <c r="D6" s="29"/>
      <c r="E6" s="29"/>
      <c r="F6" s="29"/>
      <c r="G6" s="29"/>
      <c r="H6" s="29"/>
      <c r="I6" s="30" t="s">
        <v>289</v>
      </c>
      <c r="J6" s="31" t="str">
        <f>WORKDAY(#REF!,0,'Sprint planning'!$B$8)</f>
        <v>#REF!</v>
      </c>
      <c r="K6" s="31" t="str">
        <f>WORKDAY(#REF!,1,'Sprint planning'!$B$8)</f>
        <v>#REF!</v>
      </c>
      <c r="L6" s="31" t="str">
        <f>WORKDAY(#REF!,2,'Sprint planning'!$B$8)</f>
        <v>#REF!</v>
      </c>
      <c r="M6" s="31" t="str">
        <f>WORKDAY(#REF!,3,'Sprint planning'!$B$8)</f>
        <v>#REF!</v>
      </c>
      <c r="N6" s="31" t="str">
        <f>WORKDAY(#REF!,4,'Sprint planning'!$B$8)</f>
        <v>#REF!</v>
      </c>
      <c r="O6" s="31" t="str">
        <f>WORKDAY(#REF!,5,'Sprint planning'!$B$8)</f>
        <v>#REF!</v>
      </c>
      <c r="P6" s="31" t="str">
        <f>WORKDAY(#REF!,6,'Sprint planning'!$B$8)</f>
        <v>#REF!</v>
      </c>
      <c r="Q6" s="31" t="str">
        <f>WORKDAY(#REF!,7,'Sprint planning'!$B$8)</f>
        <v>#REF!</v>
      </c>
      <c r="R6" s="31" t="str">
        <f>WORKDAY(#REF!,8,'Sprint planning'!$B$8)</f>
        <v>#REF!</v>
      </c>
      <c r="S6" s="31" t="str">
        <f>WORKDAY(#REF!,9,'Sprint planning'!$B$8)</f>
        <v>#REF!</v>
      </c>
      <c r="T6" s="31" t="str">
        <f>WORKDAY(#REF!,10,'Sprint planning'!$B$8)</f>
        <v>#REF!</v>
      </c>
      <c r="U6" s="31" t="str">
        <f>WORKDAY(#REF!,11,'Sprint planning'!$B$8)</f>
        <v>#REF!</v>
      </c>
      <c r="V6" s="31" t="str">
        <f>WORKDAY(#REF!,12,'Sprint planning'!$B$8)</f>
        <v>#REF!</v>
      </c>
      <c r="W6" s="31" t="str">
        <f>WORKDAY(#REF!,13,'Sprint planning'!$B$8)</f>
        <v>#REF!</v>
      </c>
      <c r="X6" s="31" t="str">
        <f>WORKDAY(#REF!,14,'Sprint planning'!$B$8)</f>
        <v>#REF!</v>
      </c>
    </row>
    <row r="7" ht="42.0" customHeight="1">
      <c r="A7" s="32" t="s">
        <v>434</v>
      </c>
      <c r="B7" s="33" t="s">
        <v>435</v>
      </c>
      <c r="C7" s="5" t="s">
        <v>442</v>
      </c>
      <c r="D7" s="9" t="s">
        <v>443</v>
      </c>
      <c r="E7" s="9" t="s">
        <v>444</v>
      </c>
      <c r="F7" s="16" t="s">
        <v>50</v>
      </c>
      <c r="G7" s="5" t="s">
        <v>68</v>
      </c>
      <c r="H7" s="16">
        <v>5.0</v>
      </c>
      <c r="I7" s="16"/>
      <c r="J7" s="16"/>
      <c r="K7" s="16"/>
      <c r="L7" s="16"/>
      <c r="M7" s="16"/>
      <c r="N7" s="16"/>
      <c r="O7" s="16"/>
      <c r="P7" s="16"/>
      <c r="Q7" s="16"/>
      <c r="R7" s="16"/>
      <c r="S7" s="16"/>
      <c r="T7" s="16"/>
      <c r="U7" s="16"/>
      <c r="V7" s="16"/>
      <c r="W7" s="16"/>
      <c r="X7" s="16"/>
    </row>
    <row r="8" ht="42.0" customHeight="1">
      <c r="A8" s="34"/>
      <c r="B8" s="34"/>
      <c r="C8" s="5" t="s">
        <v>451</v>
      </c>
      <c r="D8" s="9" t="s">
        <v>453</v>
      </c>
      <c r="E8" s="9" t="s">
        <v>454</v>
      </c>
      <c r="F8" s="16" t="s">
        <v>72</v>
      </c>
      <c r="G8" s="5" t="s">
        <v>68</v>
      </c>
      <c r="H8" s="16">
        <v>4.0</v>
      </c>
      <c r="I8" s="16"/>
      <c r="J8" s="16"/>
      <c r="K8" s="16"/>
      <c r="L8" s="16"/>
      <c r="M8" s="16"/>
      <c r="N8" s="16"/>
      <c r="O8" s="16"/>
      <c r="P8" s="16"/>
      <c r="Q8" s="16"/>
      <c r="R8" s="16"/>
      <c r="S8" s="16"/>
      <c r="T8" s="16"/>
      <c r="U8" s="16"/>
      <c r="V8" s="16"/>
      <c r="W8" s="16"/>
      <c r="X8" s="16"/>
    </row>
    <row r="9" ht="42.0" customHeight="1">
      <c r="A9" s="34"/>
      <c r="B9" s="34"/>
      <c r="C9" s="5" t="s">
        <v>457</v>
      </c>
      <c r="D9" s="9" t="s">
        <v>458</v>
      </c>
      <c r="E9" s="9" t="s">
        <v>460</v>
      </c>
      <c r="F9" s="16" t="s">
        <v>58</v>
      </c>
      <c r="G9" s="5" t="s">
        <v>68</v>
      </c>
      <c r="H9" s="16">
        <v>10.0</v>
      </c>
      <c r="I9" s="16"/>
      <c r="J9" s="16"/>
      <c r="K9" s="16"/>
      <c r="L9" s="16"/>
      <c r="M9" s="16"/>
      <c r="N9" s="16"/>
      <c r="O9" s="16"/>
      <c r="P9" s="16"/>
      <c r="Q9" s="16"/>
      <c r="R9" s="16"/>
      <c r="S9" s="16"/>
      <c r="T9" s="16"/>
      <c r="U9" s="16"/>
      <c r="V9" s="16"/>
      <c r="W9" s="16"/>
      <c r="X9" s="16"/>
    </row>
    <row r="10" ht="42.0" customHeight="1">
      <c r="A10" s="34"/>
      <c r="B10" s="34"/>
      <c r="C10" s="5" t="s">
        <v>464</v>
      </c>
      <c r="D10" s="9" t="s">
        <v>466</v>
      </c>
      <c r="E10" s="9" t="s">
        <v>469</v>
      </c>
      <c r="F10" s="16" t="s">
        <v>25</v>
      </c>
      <c r="G10" s="5" t="s">
        <v>68</v>
      </c>
      <c r="H10" s="16">
        <v>8.0</v>
      </c>
      <c r="I10" s="16"/>
      <c r="J10" s="16"/>
      <c r="K10" s="16"/>
      <c r="L10" s="16"/>
      <c r="M10" s="16"/>
      <c r="N10" s="16"/>
      <c r="O10" s="16"/>
      <c r="P10" s="16"/>
      <c r="Q10" s="16"/>
      <c r="R10" s="16"/>
      <c r="S10" s="16"/>
      <c r="T10" s="16"/>
      <c r="U10" s="16"/>
      <c r="V10" s="16"/>
      <c r="W10" s="16"/>
      <c r="X10" s="16"/>
    </row>
    <row r="11" ht="42.0" customHeight="1">
      <c r="A11" s="34"/>
      <c r="B11" s="34"/>
      <c r="C11" s="5" t="s">
        <v>477</v>
      </c>
      <c r="D11" s="9" t="s">
        <v>478</v>
      </c>
      <c r="E11" s="9" t="s">
        <v>479</v>
      </c>
      <c r="F11" s="16" t="s">
        <v>67</v>
      </c>
      <c r="G11" s="5" t="s">
        <v>68</v>
      </c>
      <c r="H11" s="16">
        <v>8.0</v>
      </c>
      <c r="I11" s="16"/>
      <c r="J11" s="16"/>
      <c r="K11" s="16"/>
      <c r="L11" s="16"/>
      <c r="M11" s="16"/>
      <c r="N11" s="16"/>
      <c r="O11" s="16"/>
      <c r="P11" s="16"/>
      <c r="Q11" s="16"/>
      <c r="R11" s="16"/>
      <c r="S11" s="16"/>
      <c r="T11" s="16"/>
      <c r="U11" s="16"/>
      <c r="V11" s="16"/>
      <c r="W11" s="16"/>
      <c r="X11" s="16"/>
    </row>
    <row r="12" ht="42.0" customHeight="1">
      <c r="A12" s="34"/>
      <c r="B12" s="34"/>
      <c r="C12" s="5" t="s">
        <v>482</v>
      </c>
      <c r="D12" s="9" t="s">
        <v>484</v>
      </c>
      <c r="E12" s="9" t="s">
        <v>485</v>
      </c>
      <c r="F12" s="16" t="s">
        <v>72</v>
      </c>
      <c r="G12" s="5" t="s">
        <v>68</v>
      </c>
      <c r="H12" s="16">
        <v>6.0</v>
      </c>
      <c r="I12" s="16"/>
      <c r="J12" s="16"/>
      <c r="K12" s="16"/>
      <c r="L12" s="16"/>
      <c r="M12" s="16"/>
      <c r="N12" s="16"/>
      <c r="O12" s="16"/>
      <c r="P12" s="16"/>
      <c r="Q12" s="16"/>
      <c r="R12" s="16"/>
      <c r="S12" s="16"/>
      <c r="T12" s="16"/>
      <c r="U12" s="16"/>
      <c r="V12" s="16"/>
      <c r="W12" s="16"/>
      <c r="X12" s="16"/>
    </row>
    <row r="13" ht="30.0" customHeight="1">
      <c r="A13" s="34"/>
      <c r="B13" s="34"/>
      <c r="C13" s="5" t="s">
        <v>489</v>
      </c>
      <c r="D13" s="9" t="s">
        <v>490</v>
      </c>
      <c r="E13" s="9" t="s">
        <v>491</v>
      </c>
      <c r="F13" s="16" t="s">
        <v>25</v>
      </c>
      <c r="G13" s="5" t="s">
        <v>68</v>
      </c>
      <c r="H13" s="16">
        <v>6.0</v>
      </c>
      <c r="I13" s="16"/>
      <c r="J13" s="16"/>
      <c r="K13" s="16"/>
      <c r="L13" s="16"/>
      <c r="M13" s="16"/>
      <c r="N13" s="16"/>
      <c r="O13" s="16"/>
      <c r="P13" s="16"/>
      <c r="Q13" s="16"/>
      <c r="R13" s="16"/>
      <c r="S13" s="16"/>
      <c r="T13" s="16"/>
      <c r="U13" s="16"/>
      <c r="V13" s="16"/>
      <c r="W13" s="16"/>
      <c r="X13" s="16"/>
    </row>
    <row r="14" ht="30.0" customHeight="1">
      <c r="A14" s="35"/>
      <c r="B14" s="35"/>
      <c r="C14" s="5" t="s">
        <v>493</v>
      </c>
      <c r="D14" s="9" t="s">
        <v>495</v>
      </c>
      <c r="E14" s="9" t="s">
        <v>497</v>
      </c>
      <c r="F14" s="16" t="s">
        <v>50</v>
      </c>
      <c r="G14" s="5" t="s">
        <v>68</v>
      </c>
      <c r="H14" s="16">
        <v>5.0</v>
      </c>
      <c r="I14" s="16"/>
      <c r="J14" s="16"/>
      <c r="K14" s="16"/>
      <c r="L14" s="16"/>
      <c r="M14" s="16"/>
      <c r="N14" s="16"/>
      <c r="O14" s="16"/>
      <c r="P14" s="16"/>
      <c r="Q14" s="16"/>
      <c r="R14" s="16"/>
      <c r="S14" s="16"/>
      <c r="T14" s="16"/>
      <c r="U14" s="16"/>
      <c r="V14" s="16"/>
      <c r="W14" s="16"/>
      <c r="X14" s="16"/>
    </row>
    <row r="15" ht="30.0" customHeight="1">
      <c r="A15" s="32" t="s">
        <v>498</v>
      </c>
      <c r="B15" s="33" t="s">
        <v>499</v>
      </c>
      <c r="C15" s="5" t="s">
        <v>502</v>
      </c>
      <c r="D15" s="9" t="s">
        <v>504</v>
      </c>
      <c r="E15" s="9" t="s">
        <v>505</v>
      </c>
      <c r="F15" s="16" t="s">
        <v>50</v>
      </c>
      <c r="G15" s="5" t="s">
        <v>68</v>
      </c>
      <c r="H15" s="16">
        <v>4.0</v>
      </c>
      <c r="I15" s="16"/>
      <c r="J15" s="16"/>
      <c r="K15" s="16"/>
      <c r="L15" s="16"/>
      <c r="M15" s="16"/>
      <c r="N15" s="16"/>
      <c r="O15" s="16"/>
      <c r="P15" s="16"/>
      <c r="Q15" s="16"/>
      <c r="R15" s="16"/>
      <c r="S15" s="16"/>
      <c r="T15" s="16"/>
      <c r="U15" s="16"/>
      <c r="V15" s="16"/>
      <c r="W15" s="16"/>
      <c r="X15" s="16"/>
    </row>
    <row r="16" ht="30.0" customHeight="1">
      <c r="A16" s="34"/>
      <c r="B16" s="34"/>
      <c r="C16" s="5" t="s">
        <v>508</v>
      </c>
      <c r="D16" s="9" t="s">
        <v>510</v>
      </c>
      <c r="E16" s="9" t="s">
        <v>511</v>
      </c>
      <c r="F16" s="16" t="s">
        <v>58</v>
      </c>
      <c r="G16" s="5" t="s">
        <v>68</v>
      </c>
      <c r="H16" s="16">
        <v>8.0</v>
      </c>
      <c r="I16" s="16"/>
      <c r="J16" s="16"/>
      <c r="K16" s="16"/>
      <c r="L16" s="16"/>
      <c r="M16" s="16"/>
      <c r="N16" s="16"/>
      <c r="O16" s="16"/>
      <c r="P16" s="16"/>
      <c r="Q16" s="16"/>
      <c r="R16" s="16"/>
      <c r="S16" s="16"/>
      <c r="T16" s="16"/>
      <c r="U16" s="16"/>
      <c r="V16" s="16"/>
      <c r="W16" s="16"/>
      <c r="X16" s="16"/>
    </row>
    <row r="17" ht="30.0" customHeight="1">
      <c r="A17" s="34"/>
      <c r="B17" s="34"/>
      <c r="C17" s="5" t="s">
        <v>514</v>
      </c>
      <c r="D17" s="9" t="s">
        <v>516</v>
      </c>
      <c r="E17" s="9" t="s">
        <v>517</v>
      </c>
      <c r="F17" s="16" t="s">
        <v>72</v>
      </c>
      <c r="G17" s="5" t="s">
        <v>68</v>
      </c>
      <c r="H17" s="16">
        <v>6.0</v>
      </c>
      <c r="I17" s="16"/>
      <c r="J17" s="16"/>
      <c r="K17" s="16"/>
      <c r="L17" s="16"/>
      <c r="M17" s="16"/>
      <c r="N17" s="16"/>
      <c r="O17" s="16"/>
      <c r="P17" s="16"/>
      <c r="Q17" s="16"/>
      <c r="R17" s="16"/>
      <c r="S17" s="16"/>
      <c r="T17" s="16"/>
      <c r="U17" s="16"/>
      <c r="V17" s="16"/>
      <c r="W17" s="16"/>
      <c r="X17" s="16"/>
    </row>
    <row r="18" ht="42.0" customHeight="1">
      <c r="A18" s="34"/>
      <c r="B18" s="34"/>
      <c r="C18" s="5" t="s">
        <v>521</v>
      </c>
      <c r="D18" s="9" t="s">
        <v>522</v>
      </c>
      <c r="E18" s="9" t="s">
        <v>523</v>
      </c>
      <c r="F18" s="16" t="s">
        <v>67</v>
      </c>
      <c r="G18" s="5" t="s">
        <v>68</v>
      </c>
      <c r="H18" s="16">
        <v>8.0</v>
      </c>
      <c r="I18" s="16"/>
      <c r="J18" s="16"/>
      <c r="K18" s="16"/>
      <c r="L18" s="16"/>
      <c r="M18" s="16"/>
      <c r="N18" s="16"/>
      <c r="O18" s="16"/>
      <c r="P18" s="16"/>
      <c r="Q18" s="16"/>
      <c r="R18" s="16"/>
      <c r="S18" s="16"/>
      <c r="T18" s="16"/>
      <c r="U18" s="16"/>
      <c r="V18" s="16"/>
      <c r="W18" s="16"/>
      <c r="X18" s="16"/>
    </row>
    <row r="19" ht="30.0" customHeight="1">
      <c r="A19" s="34"/>
      <c r="B19" s="34"/>
      <c r="C19" s="5" t="s">
        <v>527</v>
      </c>
      <c r="D19" s="9" t="s">
        <v>528</v>
      </c>
      <c r="E19" s="9" t="s">
        <v>529</v>
      </c>
      <c r="F19" s="16" t="s">
        <v>25</v>
      </c>
      <c r="G19" s="5" t="s">
        <v>68</v>
      </c>
      <c r="H19" s="16">
        <v>4.0</v>
      </c>
      <c r="I19" s="16"/>
      <c r="J19" s="16"/>
      <c r="K19" s="16"/>
      <c r="L19" s="16"/>
      <c r="M19" s="16"/>
      <c r="N19" s="16"/>
      <c r="O19" s="16"/>
      <c r="P19" s="16"/>
      <c r="Q19" s="16"/>
      <c r="R19" s="16"/>
      <c r="S19" s="16"/>
      <c r="T19" s="16"/>
      <c r="U19" s="16"/>
      <c r="V19" s="16"/>
      <c r="W19" s="16"/>
      <c r="X19" s="16"/>
    </row>
    <row r="20" ht="30.0" customHeight="1">
      <c r="A20" s="35"/>
      <c r="B20" s="35"/>
      <c r="C20" s="5" t="s">
        <v>533</v>
      </c>
      <c r="D20" s="9" t="s">
        <v>534</v>
      </c>
      <c r="E20" s="9" t="s">
        <v>535</v>
      </c>
      <c r="F20" s="16" t="s">
        <v>58</v>
      </c>
      <c r="G20" s="5" t="s">
        <v>68</v>
      </c>
      <c r="H20" s="16">
        <v>2.0</v>
      </c>
      <c r="I20" s="16"/>
      <c r="J20" s="16"/>
      <c r="K20" s="16"/>
      <c r="L20" s="16"/>
      <c r="M20" s="16"/>
      <c r="N20" s="16"/>
      <c r="O20" s="16"/>
      <c r="P20" s="16"/>
      <c r="Q20" s="16"/>
      <c r="R20" s="16"/>
      <c r="S20" s="16"/>
      <c r="T20" s="16"/>
      <c r="U20" s="16"/>
      <c r="V20" s="16"/>
      <c r="W20" s="16"/>
      <c r="X20" s="16"/>
    </row>
    <row r="21" ht="30.0" customHeight="1">
      <c r="A21" s="32" t="s">
        <v>536</v>
      </c>
      <c r="B21" s="33" t="s">
        <v>537</v>
      </c>
      <c r="C21" s="5" t="s">
        <v>538</v>
      </c>
      <c r="D21" s="9" t="s">
        <v>539</v>
      </c>
      <c r="E21" s="9" t="s">
        <v>540</v>
      </c>
      <c r="F21" s="16" t="s">
        <v>25</v>
      </c>
      <c r="G21" s="5" t="s">
        <v>68</v>
      </c>
      <c r="H21" s="16">
        <v>8.0</v>
      </c>
      <c r="I21" s="16"/>
      <c r="J21" s="16"/>
      <c r="K21" s="16"/>
      <c r="L21" s="16"/>
      <c r="M21" s="16"/>
      <c r="N21" s="16"/>
      <c r="O21" s="16"/>
      <c r="P21" s="16"/>
      <c r="Q21" s="16"/>
      <c r="R21" s="16"/>
      <c r="S21" s="16"/>
      <c r="T21" s="16"/>
      <c r="U21" s="16"/>
      <c r="V21" s="16"/>
      <c r="W21" s="16"/>
      <c r="X21" s="16"/>
    </row>
    <row r="22" ht="30.0" customHeight="1">
      <c r="A22" s="34"/>
      <c r="B22" s="34"/>
      <c r="C22" s="5" t="s">
        <v>541</v>
      </c>
      <c r="D22" s="9" t="s">
        <v>542</v>
      </c>
      <c r="E22" s="9" t="s">
        <v>543</v>
      </c>
      <c r="F22" s="16" t="s">
        <v>50</v>
      </c>
      <c r="G22" s="5" t="s">
        <v>68</v>
      </c>
      <c r="H22" s="16">
        <v>6.0</v>
      </c>
      <c r="I22" s="16"/>
      <c r="J22" s="16"/>
      <c r="K22" s="16"/>
      <c r="L22" s="16"/>
      <c r="M22" s="16"/>
      <c r="N22" s="16"/>
      <c r="O22" s="16"/>
      <c r="P22" s="16"/>
      <c r="Q22" s="16"/>
      <c r="R22" s="16"/>
      <c r="S22" s="16"/>
      <c r="T22" s="16"/>
      <c r="U22" s="16"/>
      <c r="V22" s="16"/>
      <c r="W22" s="16"/>
      <c r="X22" s="16"/>
    </row>
    <row r="23" ht="30.0" customHeight="1">
      <c r="A23" s="34"/>
      <c r="B23" s="34"/>
      <c r="C23" s="5" t="s">
        <v>544</v>
      </c>
      <c r="D23" s="9" t="s">
        <v>545</v>
      </c>
      <c r="E23" s="9" t="s">
        <v>546</v>
      </c>
      <c r="F23" s="16" t="s">
        <v>58</v>
      </c>
      <c r="G23" s="5" t="s">
        <v>68</v>
      </c>
      <c r="H23" s="16">
        <v>6.0</v>
      </c>
      <c r="I23" s="16"/>
      <c r="J23" s="16"/>
      <c r="K23" s="16"/>
      <c r="L23" s="16"/>
      <c r="M23" s="16"/>
      <c r="N23" s="16"/>
      <c r="O23" s="16"/>
      <c r="P23" s="16"/>
      <c r="Q23" s="16"/>
      <c r="R23" s="16"/>
      <c r="S23" s="16"/>
      <c r="T23" s="16"/>
      <c r="U23" s="16"/>
      <c r="V23" s="16"/>
      <c r="W23" s="16"/>
      <c r="X23" s="16"/>
    </row>
    <row r="24" ht="42.0" customHeight="1">
      <c r="A24" s="34"/>
      <c r="B24" s="34"/>
      <c r="C24" s="5" t="s">
        <v>549</v>
      </c>
      <c r="D24" s="9" t="s">
        <v>550</v>
      </c>
      <c r="E24" s="9" t="s">
        <v>551</v>
      </c>
      <c r="F24" s="16" t="s">
        <v>72</v>
      </c>
      <c r="G24" s="5" t="s">
        <v>68</v>
      </c>
      <c r="H24" s="16">
        <v>5.0</v>
      </c>
      <c r="I24" s="16"/>
      <c r="J24" s="16"/>
      <c r="K24" s="16"/>
      <c r="L24" s="16"/>
      <c r="M24" s="16"/>
      <c r="N24" s="16"/>
      <c r="O24" s="16"/>
      <c r="P24" s="16"/>
      <c r="Q24" s="16"/>
      <c r="R24" s="16"/>
      <c r="S24" s="16"/>
      <c r="T24" s="16"/>
      <c r="U24" s="16"/>
      <c r="V24" s="16"/>
      <c r="W24" s="16"/>
      <c r="X24" s="16"/>
    </row>
    <row r="25" ht="30.0" customHeight="1">
      <c r="A25" s="34"/>
      <c r="B25" s="34"/>
      <c r="C25" s="5" t="s">
        <v>557</v>
      </c>
      <c r="D25" s="9" t="s">
        <v>558</v>
      </c>
      <c r="E25" s="9" t="s">
        <v>560</v>
      </c>
      <c r="F25" s="16" t="s">
        <v>50</v>
      </c>
      <c r="G25" s="5" t="s">
        <v>68</v>
      </c>
      <c r="H25" s="16">
        <v>4.0</v>
      </c>
      <c r="I25" s="16"/>
      <c r="J25" s="16"/>
      <c r="K25" s="16"/>
      <c r="L25" s="16"/>
      <c r="M25" s="16"/>
      <c r="N25" s="16"/>
      <c r="O25" s="16"/>
      <c r="P25" s="16"/>
      <c r="Q25" s="16"/>
      <c r="R25" s="16"/>
      <c r="S25" s="16"/>
      <c r="T25" s="16"/>
      <c r="U25" s="16"/>
      <c r="V25" s="16"/>
      <c r="W25" s="16"/>
      <c r="X25" s="16"/>
    </row>
    <row r="26" ht="30.0" customHeight="1">
      <c r="A26" s="35"/>
      <c r="B26" s="35"/>
      <c r="C26" s="5" t="s">
        <v>562</v>
      </c>
      <c r="D26" s="9" t="s">
        <v>563</v>
      </c>
      <c r="E26" s="9" t="s">
        <v>564</v>
      </c>
      <c r="F26" s="16" t="s">
        <v>67</v>
      </c>
      <c r="G26" s="5" t="s">
        <v>68</v>
      </c>
      <c r="H26" s="16">
        <v>3.0</v>
      </c>
      <c r="I26" s="16"/>
      <c r="J26" s="16"/>
      <c r="K26" s="16"/>
      <c r="L26" s="16"/>
      <c r="M26" s="16"/>
      <c r="N26" s="16"/>
      <c r="O26" s="16"/>
      <c r="P26" s="16"/>
      <c r="Q26" s="16"/>
      <c r="R26" s="16"/>
      <c r="S26" s="16"/>
      <c r="T26" s="16"/>
      <c r="U26" s="16"/>
      <c r="V26" s="16"/>
      <c r="W26" s="16"/>
      <c r="X26" s="16"/>
    </row>
    <row r="27" ht="15.75" customHeight="1">
      <c r="G27" s="27" t="s">
        <v>317</v>
      </c>
      <c r="H27" s="27">
        <f t="shared" ref="H27:I27" si="1">SUM(H7:H26)</f>
        <v>116</v>
      </c>
      <c r="I27" s="27">
        <f t="shared" si="1"/>
        <v>0</v>
      </c>
      <c r="J27" s="27" t="str">
        <f t="shared" ref="J27:X27" si="2">IF(COUNT(J7:J26)=0,"",SUM(J7:J26))</f>
        <v/>
      </c>
      <c r="K27" s="27" t="str">
        <f t="shared" si="2"/>
        <v/>
      </c>
      <c r="L27" s="27" t="str">
        <f t="shared" si="2"/>
        <v/>
      </c>
      <c r="M27" s="27" t="str">
        <f t="shared" si="2"/>
        <v/>
      </c>
      <c r="N27" s="27" t="str">
        <f t="shared" si="2"/>
        <v/>
      </c>
      <c r="O27" s="27" t="str">
        <f t="shared" si="2"/>
        <v/>
      </c>
      <c r="P27" s="27" t="str">
        <f t="shared" si="2"/>
        <v/>
      </c>
      <c r="Q27" s="27" t="str">
        <f t="shared" si="2"/>
        <v/>
      </c>
      <c r="R27" s="27" t="str">
        <f t="shared" si="2"/>
        <v/>
      </c>
      <c r="S27" s="27" t="str">
        <f t="shared" si="2"/>
        <v/>
      </c>
      <c r="T27" s="27" t="str">
        <f t="shared" si="2"/>
        <v/>
      </c>
      <c r="U27" s="27" t="str">
        <f t="shared" si="2"/>
        <v/>
      </c>
      <c r="V27" s="27" t="str">
        <f t="shared" si="2"/>
        <v/>
      </c>
      <c r="W27" s="27" t="str">
        <f t="shared" si="2"/>
        <v/>
      </c>
      <c r="X27" s="27" t="str">
        <f t="shared" si="2"/>
        <v/>
      </c>
    </row>
    <row r="28" ht="15.75" customHeight="1">
      <c r="G28" s="27" t="s">
        <v>512</v>
      </c>
      <c r="H28" s="27">
        <f>H27</f>
        <v>116</v>
      </c>
      <c r="J28" s="38">
        <f>$H$27-$H$27*1/15</f>
        <v>108.2666667</v>
      </c>
      <c r="K28" s="38">
        <f>$H$27-$H$27*2/15</f>
        <v>100.5333333</v>
      </c>
      <c r="L28" s="38">
        <f>$H$27-$H$27*3/15</f>
        <v>92.8</v>
      </c>
      <c r="M28" s="38">
        <f>$H$27-$H$27*4/15</f>
        <v>85.06666667</v>
      </c>
      <c r="N28" s="38">
        <f>$H$27-$H$27*5/15</f>
        <v>77.33333333</v>
      </c>
      <c r="O28" s="38">
        <f>$H$27-$H$27*6/15</f>
        <v>69.6</v>
      </c>
      <c r="P28" s="38">
        <f>$H$27-$H$27*7/15</f>
        <v>61.86666667</v>
      </c>
      <c r="Q28" s="38">
        <f>$H$27-$H$27*8/15</f>
        <v>54.13333333</v>
      </c>
      <c r="R28" s="38">
        <f>$H$27-$H$27*9/15</f>
        <v>46.4</v>
      </c>
      <c r="S28" s="38">
        <f>$H$27-$H$27*10/15</f>
        <v>38.66666667</v>
      </c>
      <c r="T28" s="38">
        <f>$H$27-$H$27*11/15</f>
        <v>30.93333333</v>
      </c>
      <c r="U28" s="38">
        <f>$H$27-$H$27*12/15</f>
        <v>23.2</v>
      </c>
      <c r="V28" s="38">
        <f>$H$27-$H$27*13/15</f>
        <v>15.46666667</v>
      </c>
      <c r="W28" s="38">
        <f>$H$27-$H$27*14/15</f>
        <v>7.733333333</v>
      </c>
      <c r="X28" s="38">
        <f>$H$27-$H$27*15/15</f>
        <v>0</v>
      </c>
    </row>
    <row r="29" ht="15.75" customHeight="1"/>
    <row r="30" ht="15.75" customHeight="1">
      <c r="D30" s="22" t="s">
        <v>571</v>
      </c>
    </row>
    <row r="31" ht="31.5" customHeight="1">
      <c r="D31" s="4" t="s">
        <v>266</v>
      </c>
      <c r="E31" s="4" t="s">
        <v>573</v>
      </c>
      <c r="F31" s="4" t="s">
        <v>575</v>
      </c>
    </row>
    <row r="32" ht="15.75" customHeight="1">
      <c r="D32" s="9" t="s">
        <v>576</v>
      </c>
      <c r="E32" s="5">
        <f>SUMIF($F$7:$F$26,"SV1",$H$7:$H$26)</f>
        <v>26</v>
      </c>
      <c r="F32" s="24">
        <f t="shared" ref="F32:F36" si="3">E32/$H$27</f>
        <v>0.224137931</v>
      </c>
    </row>
    <row r="33" ht="15.75" customHeight="1">
      <c r="D33" s="9" t="s">
        <v>584</v>
      </c>
      <c r="E33" s="5">
        <f>SUMIF($F$7:$F$26,"SV2",$H$7:$H$26)</f>
        <v>24</v>
      </c>
      <c r="F33" s="24">
        <f t="shared" si="3"/>
        <v>0.2068965517</v>
      </c>
    </row>
    <row r="34" ht="15.75" customHeight="1">
      <c r="D34" s="9" t="s">
        <v>588</v>
      </c>
      <c r="E34" s="5">
        <f>SUMIF($F$7:$F$26,"SV3",$H$7:$H$26)</f>
        <v>26</v>
      </c>
      <c r="F34" s="24">
        <f t="shared" si="3"/>
        <v>0.224137931</v>
      </c>
    </row>
    <row r="35" ht="15.75" customHeight="1">
      <c r="D35" s="9" t="s">
        <v>594</v>
      </c>
      <c r="E35" s="5">
        <f>SUMIF($F$7:$F$26,"SV4",$H$7:$H$26)</f>
        <v>19</v>
      </c>
      <c r="F35" s="24">
        <f t="shared" si="3"/>
        <v>0.1637931034</v>
      </c>
    </row>
    <row r="36" ht="15.75" customHeight="1">
      <c r="D36" s="9" t="s">
        <v>599</v>
      </c>
      <c r="E36" s="5">
        <f>SUMIF($F$7:$F$26,"SV5",$H$7:$H$26)</f>
        <v>21</v>
      </c>
      <c r="F36" s="24">
        <f t="shared" si="3"/>
        <v>0.1810344828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2:M2"/>
    <mergeCell ref="A7:A14"/>
    <mergeCell ref="B7:B14"/>
    <mergeCell ref="A15:A20"/>
    <mergeCell ref="B15:B20"/>
    <mergeCell ref="A21:A26"/>
    <mergeCell ref="B21:B26"/>
  </mergeCells>
  <dataValidations>
    <dataValidation type="list" allowBlank="1" sqref="F7:F26">
      <formula1>"SV1,SV2,SV3,SV4,SV5"</formula1>
    </dataValidation>
    <dataValidation type="list" allowBlank="1" sqref="G7:G26">
      <formula1>"To do,In progress,Done"</formula1>
    </dataValidation>
  </dataValidation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52.0"/>
    <col customWidth="1" min="2" max="2" width="40.0"/>
    <col customWidth="1" min="3" max="3" width="38.0"/>
    <col customWidth="1" min="4" max="4" width="48.0"/>
    <col customWidth="1" min="5" max="5" width="8.0"/>
    <col customWidth="1" min="6" max="6" width="14.0"/>
    <col customWidth="1" min="7" max="7" width="12.0"/>
    <col customWidth="1" min="8" max="8" width="8.0"/>
    <col customWidth="1" min="9" max="26" width="8.71"/>
  </cols>
  <sheetData>
    <row r="1">
      <c r="A1" s="1" t="s">
        <v>547</v>
      </c>
    </row>
    <row r="2">
      <c r="A2" s="3" t="s">
        <v>548</v>
      </c>
    </row>
    <row r="3" ht="31.5" customHeight="1">
      <c r="A3" s="4" t="s">
        <v>552</v>
      </c>
      <c r="B3" s="4" t="s">
        <v>553</v>
      </c>
      <c r="C3" s="4" t="s">
        <v>554</v>
      </c>
      <c r="D3" s="4" t="s">
        <v>265</v>
      </c>
      <c r="E3" s="4" t="s">
        <v>555</v>
      </c>
      <c r="F3" s="4" t="s">
        <v>556</v>
      </c>
      <c r="G3" s="4" t="s">
        <v>559</v>
      </c>
      <c r="H3" s="4" t="s">
        <v>14</v>
      </c>
    </row>
    <row r="4" ht="42.0" customHeight="1">
      <c r="A4" s="39" t="s">
        <v>561</v>
      </c>
      <c r="B4" s="9" t="s">
        <v>565</v>
      </c>
      <c r="C4" s="9" t="s">
        <v>566</v>
      </c>
      <c r="D4" s="9" t="s">
        <v>321</v>
      </c>
      <c r="E4" s="16" t="s">
        <v>72</v>
      </c>
      <c r="F4" s="16">
        <v>3.0</v>
      </c>
      <c r="G4" s="16"/>
      <c r="H4" s="5">
        <v>1.0</v>
      </c>
    </row>
    <row r="5" ht="42.0" customHeight="1">
      <c r="A5" s="34"/>
      <c r="B5" s="9" t="s">
        <v>567</v>
      </c>
      <c r="C5" s="9" t="s">
        <v>568</v>
      </c>
      <c r="D5" s="9" t="s">
        <v>326</v>
      </c>
      <c r="E5" s="16" t="s">
        <v>25</v>
      </c>
      <c r="F5" s="16">
        <v>6.0</v>
      </c>
      <c r="G5" s="16"/>
      <c r="H5" s="5">
        <v>1.0</v>
      </c>
    </row>
    <row r="6" ht="42.0" customHeight="1">
      <c r="A6" s="34"/>
      <c r="B6" s="9" t="s">
        <v>569</v>
      </c>
      <c r="C6" s="9" t="s">
        <v>570</v>
      </c>
      <c r="D6" s="9" t="s">
        <v>329</v>
      </c>
      <c r="E6" s="16" t="s">
        <v>67</v>
      </c>
      <c r="F6" s="16">
        <v>6.0</v>
      </c>
      <c r="G6" s="16"/>
      <c r="H6" s="5">
        <v>1.0</v>
      </c>
    </row>
    <row r="7" ht="30.0" customHeight="1">
      <c r="A7" s="34"/>
      <c r="B7" s="9" t="s">
        <v>572</v>
      </c>
      <c r="C7" s="9" t="s">
        <v>574</v>
      </c>
      <c r="D7" s="9" t="s">
        <v>333</v>
      </c>
      <c r="E7" s="16" t="s">
        <v>25</v>
      </c>
      <c r="F7" s="16">
        <v>3.0</v>
      </c>
      <c r="G7" s="16"/>
      <c r="H7" s="5">
        <v>1.0</v>
      </c>
    </row>
    <row r="8" ht="30.0" customHeight="1">
      <c r="A8" s="35"/>
      <c r="B8" s="9" t="s">
        <v>577</v>
      </c>
      <c r="C8" s="9" t="s">
        <v>578</v>
      </c>
      <c r="D8" s="9" t="s">
        <v>336</v>
      </c>
      <c r="E8" s="16" t="s">
        <v>50</v>
      </c>
      <c r="F8" s="16">
        <v>2.0</v>
      </c>
      <c r="G8" s="16"/>
      <c r="H8" s="5">
        <v>1.0</v>
      </c>
    </row>
    <row r="9" ht="42.0" customHeight="1">
      <c r="A9" s="39" t="s">
        <v>579</v>
      </c>
      <c r="B9" s="9" t="s">
        <v>580</v>
      </c>
      <c r="C9" s="9" t="s">
        <v>581</v>
      </c>
      <c r="D9" s="9" t="s">
        <v>344</v>
      </c>
      <c r="E9" s="16" t="s">
        <v>58</v>
      </c>
      <c r="F9" s="16">
        <v>6.0</v>
      </c>
      <c r="G9" s="16"/>
      <c r="H9" s="5">
        <v>1.0</v>
      </c>
    </row>
    <row r="10" ht="42.0" customHeight="1">
      <c r="A10" s="34"/>
      <c r="B10" s="9" t="s">
        <v>582</v>
      </c>
      <c r="C10" s="9" t="s">
        <v>583</v>
      </c>
      <c r="D10" s="9" t="s">
        <v>349</v>
      </c>
      <c r="E10" s="16" t="s">
        <v>58</v>
      </c>
      <c r="F10" s="16">
        <v>5.0</v>
      </c>
      <c r="G10" s="16"/>
      <c r="H10" s="5">
        <v>1.0</v>
      </c>
    </row>
    <row r="11" ht="42.0" customHeight="1">
      <c r="A11" s="34"/>
      <c r="B11" s="9" t="s">
        <v>585</v>
      </c>
      <c r="C11" s="9" t="s">
        <v>586</v>
      </c>
      <c r="D11" s="9" t="s">
        <v>355</v>
      </c>
      <c r="E11" s="16" t="s">
        <v>67</v>
      </c>
      <c r="F11" s="16">
        <v>5.0</v>
      </c>
      <c r="G11" s="16"/>
      <c r="H11" s="5">
        <v>1.0</v>
      </c>
    </row>
    <row r="12" ht="30.0" customHeight="1">
      <c r="A12" s="34"/>
      <c r="B12" s="9" t="s">
        <v>587</v>
      </c>
      <c r="C12" s="9" t="s">
        <v>574</v>
      </c>
      <c r="D12" s="9" t="s">
        <v>360</v>
      </c>
      <c r="E12" s="16" t="s">
        <v>25</v>
      </c>
      <c r="F12" s="16">
        <v>2.0</v>
      </c>
      <c r="G12" s="16"/>
      <c r="H12" s="5">
        <v>1.0</v>
      </c>
    </row>
    <row r="13" ht="30.0" customHeight="1">
      <c r="A13" s="35"/>
      <c r="B13" s="9" t="s">
        <v>589</v>
      </c>
      <c r="C13" s="9" t="s">
        <v>590</v>
      </c>
      <c r="D13" s="9" t="s">
        <v>364</v>
      </c>
      <c r="E13" s="16" t="s">
        <v>50</v>
      </c>
      <c r="F13" s="16">
        <v>2.0</v>
      </c>
      <c r="G13" s="16"/>
      <c r="H13" s="5">
        <v>1.0</v>
      </c>
    </row>
    <row r="14" ht="42.0" customHeight="1">
      <c r="A14" s="39" t="s">
        <v>591</v>
      </c>
      <c r="B14" s="9" t="s">
        <v>592</v>
      </c>
      <c r="C14" s="9" t="s">
        <v>593</v>
      </c>
      <c r="D14" s="9" t="s">
        <v>375</v>
      </c>
      <c r="E14" s="16" t="s">
        <v>72</v>
      </c>
      <c r="F14" s="16">
        <v>5.0</v>
      </c>
      <c r="G14" s="16"/>
      <c r="H14" s="5">
        <v>1.0</v>
      </c>
    </row>
    <row r="15" ht="42.0" customHeight="1">
      <c r="A15" s="34"/>
      <c r="B15" s="9" t="s">
        <v>595</v>
      </c>
      <c r="C15" s="9" t="s">
        <v>596</v>
      </c>
      <c r="D15" s="9" t="s">
        <v>378</v>
      </c>
      <c r="E15" s="16" t="s">
        <v>50</v>
      </c>
      <c r="F15" s="16">
        <v>8.0</v>
      </c>
      <c r="G15" s="16"/>
      <c r="H15" s="5">
        <v>1.0</v>
      </c>
    </row>
    <row r="16" ht="42.0" customHeight="1">
      <c r="A16" s="34"/>
      <c r="B16" s="9" t="s">
        <v>597</v>
      </c>
      <c r="C16" s="9" t="s">
        <v>598</v>
      </c>
      <c r="D16" s="9" t="s">
        <v>382</v>
      </c>
      <c r="E16" s="16" t="s">
        <v>72</v>
      </c>
      <c r="F16" s="16">
        <v>5.0</v>
      </c>
      <c r="G16" s="16"/>
      <c r="H16" s="5">
        <v>1.0</v>
      </c>
    </row>
    <row r="17" ht="42.0" customHeight="1">
      <c r="A17" s="34"/>
      <c r="B17" s="9" t="s">
        <v>600</v>
      </c>
      <c r="C17" s="9" t="s">
        <v>601</v>
      </c>
      <c r="D17" s="9" t="s">
        <v>387</v>
      </c>
      <c r="E17" s="16" t="s">
        <v>50</v>
      </c>
      <c r="F17" s="16">
        <v>8.0</v>
      </c>
      <c r="G17" s="16"/>
      <c r="H17" s="5">
        <v>1.0</v>
      </c>
    </row>
    <row r="18" ht="30.0" customHeight="1">
      <c r="A18" s="34"/>
      <c r="B18" s="9" t="s">
        <v>602</v>
      </c>
      <c r="C18" s="9" t="s">
        <v>603</v>
      </c>
      <c r="D18" s="9" t="s">
        <v>393</v>
      </c>
      <c r="E18" s="16" t="s">
        <v>67</v>
      </c>
      <c r="F18" s="16">
        <v>3.0</v>
      </c>
      <c r="G18" s="16"/>
      <c r="H18" s="5">
        <v>1.0</v>
      </c>
    </row>
    <row r="19" ht="30.0" customHeight="1">
      <c r="A19" s="35"/>
      <c r="B19" s="9" t="s">
        <v>604</v>
      </c>
      <c r="C19" s="9" t="s">
        <v>574</v>
      </c>
      <c r="D19" s="9" t="s">
        <v>402</v>
      </c>
      <c r="E19" s="16" t="s">
        <v>25</v>
      </c>
      <c r="F19" s="16">
        <v>3.0</v>
      </c>
      <c r="G19" s="16"/>
      <c r="H19" s="5">
        <v>1.0</v>
      </c>
    </row>
    <row r="20" ht="42.0" customHeight="1">
      <c r="A20" s="39" t="s">
        <v>605</v>
      </c>
      <c r="B20" s="9" t="s">
        <v>606</v>
      </c>
      <c r="C20" s="9" t="s">
        <v>607</v>
      </c>
      <c r="D20" s="9" t="s">
        <v>413</v>
      </c>
      <c r="E20" s="16" t="s">
        <v>50</v>
      </c>
      <c r="F20" s="16">
        <v>3.0</v>
      </c>
      <c r="G20" s="16"/>
      <c r="H20" s="5">
        <v>1.0</v>
      </c>
    </row>
    <row r="21" ht="42.0" customHeight="1">
      <c r="A21" s="34"/>
      <c r="B21" s="9" t="s">
        <v>608</v>
      </c>
      <c r="C21" s="9" t="s">
        <v>609</v>
      </c>
      <c r="D21" s="9" t="s">
        <v>419</v>
      </c>
      <c r="E21" s="16" t="s">
        <v>50</v>
      </c>
      <c r="F21" s="16">
        <v>3.0</v>
      </c>
      <c r="G21" s="16"/>
      <c r="H21" s="5">
        <v>1.0</v>
      </c>
    </row>
    <row r="22" ht="42.0" customHeight="1">
      <c r="A22" s="34"/>
      <c r="B22" s="9" t="s">
        <v>610</v>
      </c>
      <c r="C22" s="9" t="s">
        <v>611</v>
      </c>
      <c r="D22" s="9" t="s">
        <v>427</v>
      </c>
      <c r="E22" s="16" t="s">
        <v>58</v>
      </c>
      <c r="F22" s="16">
        <v>6.0</v>
      </c>
      <c r="G22" s="16"/>
      <c r="H22" s="5">
        <v>1.0</v>
      </c>
    </row>
    <row r="23" ht="30.0" customHeight="1">
      <c r="A23" s="34"/>
      <c r="B23" s="9" t="s">
        <v>612</v>
      </c>
      <c r="C23" s="9" t="s">
        <v>613</v>
      </c>
      <c r="D23" s="9" t="s">
        <v>438</v>
      </c>
      <c r="E23" s="16" t="s">
        <v>72</v>
      </c>
      <c r="F23" s="16">
        <v>4.0</v>
      </c>
      <c r="G23" s="16"/>
      <c r="H23" s="5">
        <v>1.0</v>
      </c>
    </row>
    <row r="24" ht="30.0" customHeight="1">
      <c r="A24" s="35"/>
      <c r="B24" s="9" t="s">
        <v>614</v>
      </c>
      <c r="C24" s="9" t="s">
        <v>574</v>
      </c>
      <c r="D24" s="9" t="s">
        <v>452</v>
      </c>
      <c r="E24" s="16" t="s">
        <v>25</v>
      </c>
      <c r="F24" s="16">
        <v>4.0</v>
      </c>
      <c r="G24" s="16"/>
      <c r="H24" s="5">
        <v>1.0</v>
      </c>
    </row>
    <row r="25" ht="30.0" customHeight="1">
      <c r="A25" s="39" t="s">
        <v>615</v>
      </c>
      <c r="B25" s="9" t="s">
        <v>616</v>
      </c>
      <c r="C25" s="9" t="s">
        <v>617</v>
      </c>
      <c r="D25" s="9" t="s">
        <v>475</v>
      </c>
      <c r="E25" s="16" t="s">
        <v>72</v>
      </c>
      <c r="F25" s="16">
        <v>3.0</v>
      </c>
      <c r="G25" s="16"/>
      <c r="H25" s="5">
        <v>1.0</v>
      </c>
    </row>
    <row r="26" ht="30.0" customHeight="1">
      <c r="A26" s="34"/>
      <c r="B26" s="9" t="s">
        <v>618</v>
      </c>
      <c r="C26" s="9" t="s">
        <v>619</v>
      </c>
      <c r="D26" s="9" t="s">
        <v>488</v>
      </c>
      <c r="E26" s="16" t="s">
        <v>67</v>
      </c>
      <c r="F26" s="16">
        <v>6.0</v>
      </c>
      <c r="G26" s="16"/>
      <c r="H26" s="5">
        <v>1.0</v>
      </c>
    </row>
    <row r="27" ht="30.0" customHeight="1">
      <c r="A27" s="34"/>
      <c r="B27" s="9" t="s">
        <v>620</v>
      </c>
      <c r="C27" s="9" t="s">
        <v>621</v>
      </c>
      <c r="D27" s="9" t="s">
        <v>496</v>
      </c>
      <c r="E27" s="16" t="s">
        <v>58</v>
      </c>
      <c r="F27" s="16">
        <v>5.0</v>
      </c>
      <c r="G27" s="16"/>
      <c r="H27" s="5">
        <v>1.0</v>
      </c>
    </row>
    <row r="28" ht="30.0" customHeight="1">
      <c r="A28" s="34"/>
      <c r="B28" s="9" t="s">
        <v>622</v>
      </c>
      <c r="C28" s="9" t="s">
        <v>623</v>
      </c>
      <c r="D28" s="9" t="s">
        <v>503</v>
      </c>
      <c r="E28" s="16" t="s">
        <v>72</v>
      </c>
      <c r="F28" s="16">
        <v>3.0</v>
      </c>
      <c r="G28" s="16"/>
      <c r="H28" s="5">
        <v>1.0</v>
      </c>
    </row>
    <row r="29" ht="30.0" customHeight="1">
      <c r="A29" s="35"/>
      <c r="B29" s="9" t="s">
        <v>624</v>
      </c>
      <c r="C29" s="9" t="s">
        <v>625</v>
      </c>
      <c r="D29" s="9" t="s">
        <v>509</v>
      </c>
      <c r="E29" s="16" t="s">
        <v>25</v>
      </c>
      <c r="F29" s="16">
        <v>3.0</v>
      </c>
      <c r="G29" s="16"/>
      <c r="H29" s="5">
        <v>1.0</v>
      </c>
    </row>
    <row r="30" ht="30.0" customHeight="1">
      <c r="A30" s="39" t="s">
        <v>626</v>
      </c>
      <c r="B30" s="9" t="s">
        <v>627</v>
      </c>
      <c r="C30" s="9" t="s">
        <v>628</v>
      </c>
      <c r="D30" s="9" t="s">
        <v>520</v>
      </c>
      <c r="E30" s="16" t="s">
        <v>67</v>
      </c>
      <c r="F30" s="16">
        <v>6.0</v>
      </c>
      <c r="G30" s="16"/>
      <c r="H30" s="5">
        <v>1.0</v>
      </c>
    </row>
    <row r="31" ht="30.0" customHeight="1">
      <c r="A31" s="34"/>
      <c r="B31" s="9" t="s">
        <v>629</v>
      </c>
      <c r="C31" s="9" t="s">
        <v>630</v>
      </c>
      <c r="D31" s="9" t="s">
        <v>526</v>
      </c>
      <c r="E31" s="16" t="s">
        <v>58</v>
      </c>
      <c r="F31" s="16">
        <v>3.0</v>
      </c>
      <c r="G31" s="16"/>
      <c r="H31" s="5">
        <v>1.0</v>
      </c>
    </row>
    <row r="32" ht="30.0" customHeight="1">
      <c r="A32" s="35"/>
      <c r="B32" s="9" t="s">
        <v>631</v>
      </c>
      <c r="C32" s="9" t="s">
        <v>632</v>
      </c>
      <c r="D32" s="9" t="s">
        <v>532</v>
      </c>
      <c r="E32" s="16" t="s">
        <v>25</v>
      </c>
      <c r="F32" s="16">
        <v>3.0</v>
      </c>
      <c r="G32" s="16"/>
      <c r="H32" s="5">
        <v>1.0</v>
      </c>
    </row>
    <row r="33" ht="42.0" customHeight="1">
      <c r="A33" s="39" t="s">
        <v>633</v>
      </c>
      <c r="B33" s="9" t="s">
        <v>634</v>
      </c>
      <c r="C33" s="9" t="s">
        <v>635</v>
      </c>
      <c r="D33" s="9" t="s">
        <v>346</v>
      </c>
      <c r="E33" s="16" t="s">
        <v>58</v>
      </c>
      <c r="F33" s="16">
        <v>8.0</v>
      </c>
      <c r="G33" s="16"/>
      <c r="H33" s="5">
        <v>2.0</v>
      </c>
    </row>
    <row r="34" ht="42.0" customHeight="1">
      <c r="A34" s="34"/>
      <c r="B34" s="9" t="s">
        <v>636</v>
      </c>
      <c r="C34" s="9" t="s">
        <v>637</v>
      </c>
      <c r="D34" s="9" t="s">
        <v>352</v>
      </c>
      <c r="E34" s="16" t="s">
        <v>72</v>
      </c>
      <c r="F34" s="16">
        <v>4.0</v>
      </c>
      <c r="G34" s="16"/>
      <c r="H34" s="5">
        <v>2.0</v>
      </c>
    </row>
    <row r="35" ht="42.0" customHeight="1">
      <c r="A35" s="34"/>
      <c r="B35" s="9" t="s">
        <v>638</v>
      </c>
      <c r="C35" s="9" t="s">
        <v>639</v>
      </c>
      <c r="D35" s="9" t="s">
        <v>362</v>
      </c>
      <c r="E35" s="16" t="s">
        <v>67</v>
      </c>
      <c r="F35" s="16">
        <v>10.0</v>
      </c>
      <c r="G35" s="16"/>
      <c r="H35" s="5">
        <v>2.0</v>
      </c>
    </row>
    <row r="36" ht="30.0" customHeight="1">
      <c r="A36" s="34"/>
      <c r="B36" s="9" t="s">
        <v>640</v>
      </c>
      <c r="C36" s="9" t="s">
        <v>641</v>
      </c>
      <c r="D36" s="9" t="s">
        <v>367</v>
      </c>
      <c r="E36" s="16" t="s">
        <v>50</v>
      </c>
      <c r="F36" s="16">
        <v>3.0</v>
      </c>
      <c r="G36" s="16"/>
      <c r="H36" s="5">
        <v>2.0</v>
      </c>
    </row>
    <row r="37" ht="30.0" customHeight="1">
      <c r="A37" s="34"/>
      <c r="B37" s="9" t="s">
        <v>642</v>
      </c>
      <c r="C37" s="9" t="s">
        <v>574</v>
      </c>
      <c r="D37" s="9" t="s">
        <v>374</v>
      </c>
      <c r="E37" s="16" t="s">
        <v>25</v>
      </c>
      <c r="F37" s="16">
        <v>4.0</v>
      </c>
      <c r="G37" s="16"/>
      <c r="H37" s="5">
        <v>2.0</v>
      </c>
    </row>
    <row r="38" ht="30.0" customHeight="1">
      <c r="A38" s="35"/>
      <c r="B38" s="9" t="s">
        <v>643</v>
      </c>
      <c r="C38" s="9" t="s">
        <v>590</v>
      </c>
      <c r="D38" s="9" t="s">
        <v>364</v>
      </c>
      <c r="E38" s="16" t="s">
        <v>50</v>
      </c>
      <c r="F38" s="16">
        <v>3.0</v>
      </c>
      <c r="G38" s="16"/>
      <c r="H38" s="5">
        <v>2.0</v>
      </c>
    </row>
    <row r="39" ht="30.0" customHeight="1">
      <c r="A39" s="39" t="s">
        <v>644</v>
      </c>
      <c r="B39" s="9" t="s">
        <v>645</v>
      </c>
      <c r="C39" s="9" t="s">
        <v>646</v>
      </c>
      <c r="D39" s="9" t="s">
        <v>390</v>
      </c>
      <c r="E39" s="16" t="s">
        <v>72</v>
      </c>
      <c r="F39" s="16">
        <v>4.0</v>
      </c>
      <c r="G39" s="16"/>
      <c r="H39" s="5">
        <v>2.0</v>
      </c>
    </row>
    <row r="40" ht="42.0" customHeight="1">
      <c r="A40" s="34"/>
      <c r="B40" s="9" t="s">
        <v>647</v>
      </c>
      <c r="C40" s="9" t="s">
        <v>648</v>
      </c>
      <c r="D40" s="9" t="s">
        <v>396</v>
      </c>
      <c r="E40" s="16" t="s">
        <v>58</v>
      </c>
      <c r="F40" s="16">
        <v>8.0</v>
      </c>
      <c r="G40" s="16"/>
      <c r="H40" s="5">
        <v>2.0</v>
      </c>
    </row>
    <row r="41" ht="42.0" customHeight="1">
      <c r="A41" s="34"/>
      <c r="B41" s="9" t="s">
        <v>649</v>
      </c>
      <c r="C41" s="9" t="s">
        <v>650</v>
      </c>
      <c r="D41" s="9" t="s">
        <v>399</v>
      </c>
      <c r="E41" s="16" t="s">
        <v>67</v>
      </c>
      <c r="F41" s="16">
        <v>10.0</v>
      </c>
      <c r="G41" s="16"/>
      <c r="H41" s="5">
        <v>2.0</v>
      </c>
    </row>
    <row r="42" ht="30.0" customHeight="1">
      <c r="A42" s="34"/>
      <c r="B42" s="9" t="s">
        <v>651</v>
      </c>
      <c r="C42" s="9" t="s">
        <v>652</v>
      </c>
      <c r="D42" s="9" t="s">
        <v>405</v>
      </c>
      <c r="E42" s="16" t="s">
        <v>72</v>
      </c>
      <c r="F42" s="16">
        <v>3.0</v>
      </c>
      <c r="G42" s="16"/>
      <c r="H42" s="5">
        <v>2.0</v>
      </c>
    </row>
    <row r="43" ht="30.0" customHeight="1">
      <c r="A43" s="34"/>
      <c r="B43" s="9" t="s">
        <v>653</v>
      </c>
      <c r="C43" s="9" t="s">
        <v>625</v>
      </c>
      <c r="D43" s="9" t="s">
        <v>409</v>
      </c>
      <c r="E43" s="16" t="s">
        <v>25</v>
      </c>
      <c r="F43" s="16">
        <v>4.0</v>
      </c>
      <c r="G43" s="16"/>
      <c r="H43" s="5">
        <v>2.0</v>
      </c>
    </row>
    <row r="44" ht="30.0" customHeight="1">
      <c r="A44" s="35"/>
      <c r="B44" s="9" t="s">
        <v>654</v>
      </c>
      <c r="C44" s="9" t="s">
        <v>655</v>
      </c>
      <c r="D44" s="9" t="s">
        <v>416</v>
      </c>
      <c r="E44" s="16" t="s">
        <v>50</v>
      </c>
      <c r="F44" s="16">
        <v>3.0</v>
      </c>
      <c r="G44" s="16"/>
      <c r="H44" s="5">
        <v>2.0</v>
      </c>
    </row>
    <row r="45" ht="42.0" customHeight="1">
      <c r="A45" s="39" t="s">
        <v>656</v>
      </c>
      <c r="B45" s="9" t="s">
        <v>657</v>
      </c>
      <c r="C45" s="9" t="s">
        <v>658</v>
      </c>
      <c r="D45" s="9" t="s">
        <v>424</v>
      </c>
      <c r="E45" s="16" t="s">
        <v>72</v>
      </c>
      <c r="F45" s="16">
        <v>4.0</v>
      </c>
      <c r="G45" s="16"/>
      <c r="H45" s="5">
        <v>2.0</v>
      </c>
    </row>
    <row r="46" ht="42.0" customHeight="1">
      <c r="A46" s="34"/>
      <c r="B46" s="9" t="s">
        <v>659</v>
      </c>
      <c r="C46" s="9" t="s">
        <v>660</v>
      </c>
      <c r="D46" s="9" t="s">
        <v>430</v>
      </c>
      <c r="E46" s="16" t="s">
        <v>50</v>
      </c>
      <c r="F46" s="16">
        <v>10.0</v>
      </c>
      <c r="G46" s="16"/>
      <c r="H46" s="5">
        <v>2.0</v>
      </c>
    </row>
    <row r="47" ht="42.0" customHeight="1">
      <c r="A47" s="34"/>
      <c r="B47" s="9" t="s">
        <v>661</v>
      </c>
      <c r="C47" s="9" t="s">
        <v>662</v>
      </c>
      <c r="D47" s="9" t="s">
        <v>433</v>
      </c>
      <c r="E47" s="16" t="s">
        <v>25</v>
      </c>
      <c r="F47" s="16">
        <v>8.0</v>
      </c>
      <c r="G47" s="16"/>
      <c r="H47" s="5">
        <v>2.0</v>
      </c>
    </row>
    <row r="48" ht="30.0" customHeight="1">
      <c r="A48" s="34"/>
      <c r="B48" s="9" t="s">
        <v>663</v>
      </c>
      <c r="C48" s="9" t="s">
        <v>664</v>
      </c>
      <c r="D48" s="9" t="s">
        <v>441</v>
      </c>
      <c r="E48" s="16" t="s">
        <v>72</v>
      </c>
      <c r="F48" s="16">
        <v>3.0</v>
      </c>
      <c r="G48" s="16"/>
      <c r="H48" s="5">
        <v>2.0</v>
      </c>
    </row>
    <row r="49" ht="30.0" customHeight="1">
      <c r="A49" s="34"/>
      <c r="B49" s="9" t="s">
        <v>665</v>
      </c>
      <c r="C49" s="9" t="s">
        <v>625</v>
      </c>
      <c r="D49" s="9" t="s">
        <v>447</v>
      </c>
      <c r="E49" s="16" t="s">
        <v>25</v>
      </c>
      <c r="F49" s="16">
        <v>4.0</v>
      </c>
      <c r="G49" s="16"/>
      <c r="H49" s="5">
        <v>2.0</v>
      </c>
    </row>
    <row r="50" ht="30.0" customHeight="1">
      <c r="A50" s="35"/>
      <c r="B50" s="9" t="s">
        <v>666</v>
      </c>
      <c r="C50" s="9" t="s">
        <v>590</v>
      </c>
      <c r="D50" s="9" t="s">
        <v>364</v>
      </c>
      <c r="E50" s="16" t="s">
        <v>50</v>
      </c>
      <c r="F50" s="16">
        <v>3.0</v>
      </c>
      <c r="G50" s="16"/>
      <c r="H50" s="5">
        <v>2.0</v>
      </c>
    </row>
    <row r="51" ht="30.0" customHeight="1">
      <c r="A51" s="39" t="s">
        <v>667</v>
      </c>
      <c r="B51" s="9" t="s">
        <v>668</v>
      </c>
      <c r="C51" s="9" t="s">
        <v>669</v>
      </c>
      <c r="D51" s="9" t="s">
        <v>462</v>
      </c>
      <c r="E51" s="16" t="s">
        <v>67</v>
      </c>
      <c r="F51" s="16">
        <v>5.0</v>
      </c>
      <c r="G51" s="16"/>
      <c r="H51" s="5">
        <v>2.0</v>
      </c>
    </row>
    <row r="52" ht="42.0" customHeight="1">
      <c r="A52" s="34"/>
      <c r="B52" s="9" t="s">
        <v>670</v>
      </c>
      <c r="C52" s="9" t="s">
        <v>671</v>
      </c>
      <c r="D52" s="9" t="s">
        <v>468</v>
      </c>
      <c r="E52" s="16" t="s">
        <v>58</v>
      </c>
      <c r="F52" s="16">
        <v>6.0</v>
      </c>
      <c r="G52" s="16"/>
      <c r="H52" s="5">
        <v>2.0</v>
      </c>
    </row>
    <row r="53" ht="30.0" customHeight="1">
      <c r="A53" s="34"/>
      <c r="B53" s="9" t="s">
        <v>672</v>
      </c>
      <c r="C53" s="9" t="s">
        <v>673</v>
      </c>
      <c r="D53" s="9" t="s">
        <v>476</v>
      </c>
      <c r="E53" s="16" t="s">
        <v>72</v>
      </c>
      <c r="F53" s="16">
        <v>5.0</v>
      </c>
      <c r="G53" s="16"/>
      <c r="H53" s="5">
        <v>2.0</v>
      </c>
    </row>
    <row r="54" ht="30.0" customHeight="1">
      <c r="A54" s="35"/>
      <c r="B54" s="9" t="s">
        <v>674</v>
      </c>
      <c r="C54" s="9" t="s">
        <v>625</v>
      </c>
      <c r="D54" s="9" t="s">
        <v>483</v>
      </c>
      <c r="E54" s="16" t="s">
        <v>25</v>
      </c>
      <c r="F54" s="16">
        <v>4.0</v>
      </c>
      <c r="G54" s="16"/>
      <c r="H54" s="5">
        <v>2.0</v>
      </c>
    </row>
    <row r="55" ht="42.0" customHeight="1">
      <c r="A55" s="39" t="s">
        <v>675</v>
      </c>
      <c r="B55" s="9" t="s">
        <v>676</v>
      </c>
      <c r="C55" s="9" t="s">
        <v>677</v>
      </c>
      <c r="D55" s="9" t="s">
        <v>444</v>
      </c>
      <c r="E55" s="16" t="s">
        <v>50</v>
      </c>
      <c r="F55" s="16">
        <v>5.0</v>
      </c>
      <c r="G55" s="16"/>
      <c r="H55" s="5">
        <v>3.0</v>
      </c>
    </row>
    <row r="56" ht="42.0" customHeight="1">
      <c r="A56" s="34"/>
      <c r="B56" s="9" t="s">
        <v>678</v>
      </c>
      <c r="C56" s="9" t="s">
        <v>679</v>
      </c>
      <c r="D56" s="9" t="s">
        <v>454</v>
      </c>
      <c r="E56" s="16" t="s">
        <v>72</v>
      </c>
      <c r="F56" s="16">
        <v>4.0</v>
      </c>
      <c r="G56" s="16"/>
      <c r="H56" s="5">
        <v>3.0</v>
      </c>
    </row>
    <row r="57" ht="42.0" customHeight="1">
      <c r="A57" s="34"/>
      <c r="B57" s="9" t="s">
        <v>680</v>
      </c>
      <c r="C57" s="9" t="s">
        <v>681</v>
      </c>
      <c r="D57" s="9" t="s">
        <v>460</v>
      </c>
      <c r="E57" s="16" t="s">
        <v>58</v>
      </c>
      <c r="F57" s="16">
        <v>10.0</v>
      </c>
      <c r="G57" s="16"/>
      <c r="H57" s="5">
        <v>3.0</v>
      </c>
    </row>
    <row r="58" ht="42.0" customHeight="1">
      <c r="A58" s="34"/>
      <c r="B58" s="9" t="s">
        <v>682</v>
      </c>
      <c r="C58" s="9" t="s">
        <v>683</v>
      </c>
      <c r="D58" s="9" t="s">
        <v>469</v>
      </c>
      <c r="E58" s="16" t="s">
        <v>25</v>
      </c>
      <c r="F58" s="16">
        <v>8.0</v>
      </c>
      <c r="G58" s="16"/>
      <c r="H58" s="5">
        <v>3.0</v>
      </c>
    </row>
    <row r="59" ht="42.0" customHeight="1">
      <c r="A59" s="34"/>
      <c r="B59" s="9" t="s">
        <v>684</v>
      </c>
      <c r="C59" s="9" t="s">
        <v>685</v>
      </c>
      <c r="D59" s="9" t="s">
        <v>479</v>
      </c>
      <c r="E59" s="16" t="s">
        <v>67</v>
      </c>
      <c r="F59" s="16">
        <v>8.0</v>
      </c>
      <c r="G59" s="16"/>
      <c r="H59" s="5">
        <v>3.0</v>
      </c>
    </row>
    <row r="60" ht="42.0" customHeight="1">
      <c r="A60" s="34"/>
      <c r="B60" s="9" t="s">
        <v>686</v>
      </c>
      <c r="C60" s="9" t="s">
        <v>687</v>
      </c>
      <c r="D60" s="9" t="s">
        <v>485</v>
      </c>
      <c r="E60" s="16" t="s">
        <v>72</v>
      </c>
      <c r="F60" s="16">
        <v>6.0</v>
      </c>
      <c r="G60" s="16"/>
      <c r="H60" s="5">
        <v>3.0</v>
      </c>
    </row>
    <row r="61" ht="30.0" customHeight="1">
      <c r="A61" s="34"/>
      <c r="B61" s="9" t="s">
        <v>688</v>
      </c>
      <c r="C61" s="9" t="s">
        <v>574</v>
      </c>
      <c r="D61" s="9" t="s">
        <v>491</v>
      </c>
      <c r="E61" s="16" t="s">
        <v>25</v>
      </c>
      <c r="F61" s="16">
        <v>6.0</v>
      </c>
      <c r="G61" s="16"/>
      <c r="H61" s="5">
        <v>3.0</v>
      </c>
    </row>
    <row r="62" ht="30.0" customHeight="1">
      <c r="A62" s="35"/>
      <c r="B62" s="9" t="s">
        <v>689</v>
      </c>
      <c r="C62" s="9" t="s">
        <v>690</v>
      </c>
      <c r="D62" s="9" t="s">
        <v>497</v>
      </c>
      <c r="E62" s="16" t="s">
        <v>50</v>
      </c>
      <c r="F62" s="16">
        <v>5.0</v>
      </c>
      <c r="G62" s="16"/>
      <c r="H62" s="5">
        <v>3.0</v>
      </c>
    </row>
    <row r="63" ht="30.0" customHeight="1">
      <c r="A63" s="39" t="s">
        <v>691</v>
      </c>
      <c r="B63" s="9" t="s">
        <v>692</v>
      </c>
      <c r="C63" s="9" t="s">
        <v>693</v>
      </c>
      <c r="D63" s="9" t="s">
        <v>505</v>
      </c>
      <c r="E63" s="16" t="s">
        <v>50</v>
      </c>
      <c r="F63" s="16">
        <v>4.0</v>
      </c>
      <c r="G63" s="16"/>
      <c r="H63" s="5">
        <v>3.0</v>
      </c>
    </row>
    <row r="64" ht="30.0" customHeight="1">
      <c r="A64" s="34"/>
      <c r="B64" s="9" t="s">
        <v>694</v>
      </c>
      <c r="C64" s="9" t="s">
        <v>695</v>
      </c>
      <c r="D64" s="9" t="s">
        <v>511</v>
      </c>
      <c r="E64" s="16" t="s">
        <v>58</v>
      </c>
      <c r="F64" s="16">
        <v>8.0</v>
      </c>
      <c r="G64" s="16"/>
      <c r="H64" s="5">
        <v>3.0</v>
      </c>
    </row>
    <row r="65" ht="30.0" customHeight="1">
      <c r="A65" s="34"/>
      <c r="B65" s="9" t="s">
        <v>696</v>
      </c>
      <c r="C65" s="9" t="s">
        <v>697</v>
      </c>
      <c r="D65" s="9" t="s">
        <v>517</v>
      </c>
      <c r="E65" s="16" t="s">
        <v>72</v>
      </c>
      <c r="F65" s="16">
        <v>6.0</v>
      </c>
      <c r="G65" s="16"/>
      <c r="H65" s="5">
        <v>3.0</v>
      </c>
    </row>
    <row r="66" ht="42.0" customHeight="1">
      <c r="A66" s="34"/>
      <c r="B66" s="9" t="s">
        <v>698</v>
      </c>
      <c r="C66" s="9" t="s">
        <v>699</v>
      </c>
      <c r="D66" s="9" t="s">
        <v>523</v>
      </c>
      <c r="E66" s="16" t="s">
        <v>67</v>
      </c>
      <c r="F66" s="16">
        <v>8.0</v>
      </c>
      <c r="G66" s="16"/>
      <c r="H66" s="5">
        <v>3.0</v>
      </c>
    </row>
    <row r="67" ht="30.0" customHeight="1">
      <c r="A67" s="34"/>
      <c r="B67" s="9" t="s">
        <v>700</v>
      </c>
      <c r="C67" s="9" t="s">
        <v>625</v>
      </c>
      <c r="D67" s="9" t="s">
        <v>529</v>
      </c>
      <c r="E67" s="16" t="s">
        <v>25</v>
      </c>
      <c r="F67" s="16">
        <v>4.0</v>
      </c>
      <c r="G67" s="16"/>
      <c r="H67" s="5">
        <v>3.0</v>
      </c>
    </row>
    <row r="68" ht="30.0" customHeight="1">
      <c r="A68" s="35"/>
      <c r="B68" s="9" t="s">
        <v>701</v>
      </c>
      <c r="C68" s="9" t="s">
        <v>702</v>
      </c>
      <c r="D68" s="9" t="s">
        <v>535</v>
      </c>
      <c r="E68" s="16" t="s">
        <v>58</v>
      </c>
      <c r="F68" s="16">
        <v>2.0</v>
      </c>
      <c r="G68" s="16"/>
      <c r="H68" s="5">
        <v>3.0</v>
      </c>
    </row>
    <row r="69" ht="30.0" customHeight="1">
      <c r="A69" s="39" t="s">
        <v>703</v>
      </c>
      <c r="B69" s="9" t="s">
        <v>704</v>
      </c>
      <c r="C69" s="9" t="s">
        <v>705</v>
      </c>
      <c r="D69" s="9" t="s">
        <v>540</v>
      </c>
      <c r="E69" s="16" t="s">
        <v>25</v>
      </c>
      <c r="F69" s="16">
        <v>8.0</v>
      </c>
      <c r="G69" s="16"/>
      <c r="H69" s="5">
        <v>3.0</v>
      </c>
    </row>
    <row r="70" ht="30.0" customHeight="1">
      <c r="A70" s="34"/>
      <c r="B70" s="9" t="s">
        <v>706</v>
      </c>
      <c r="C70" s="9" t="s">
        <v>707</v>
      </c>
      <c r="D70" s="9" t="s">
        <v>543</v>
      </c>
      <c r="E70" s="16" t="s">
        <v>50</v>
      </c>
      <c r="F70" s="16">
        <v>6.0</v>
      </c>
      <c r="G70" s="16"/>
      <c r="H70" s="5">
        <v>3.0</v>
      </c>
    </row>
    <row r="71" ht="30.0" customHeight="1">
      <c r="A71" s="34"/>
      <c r="B71" s="9" t="s">
        <v>708</v>
      </c>
      <c r="C71" s="9" t="s">
        <v>709</v>
      </c>
      <c r="D71" s="9" t="s">
        <v>546</v>
      </c>
      <c r="E71" s="16" t="s">
        <v>58</v>
      </c>
      <c r="F71" s="16">
        <v>6.0</v>
      </c>
      <c r="G71" s="16"/>
      <c r="H71" s="5">
        <v>3.0</v>
      </c>
    </row>
    <row r="72" ht="42.0" customHeight="1">
      <c r="A72" s="34"/>
      <c r="B72" s="9" t="s">
        <v>710</v>
      </c>
      <c r="C72" s="9" t="s">
        <v>711</v>
      </c>
      <c r="D72" s="9" t="s">
        <v>551</v>
      </c>
      <c r="E72" s="16" t="s">
        <v>72</v>
      </c>
      <c r="F72" s="16">
        <v>5.0</v>
      </c>
      <c r="G72" s="16"/>
      <c r="H72" s="5">
        <v>3.0</v>
      </c>
    </row>
    <row r="73" ht="30.0" customHeight="1">
      <c r="A73" s="34"/>
      <c r="B73" s="9" t="s">
        <v>712</v>
      </c>
      <c r="C73" s="9" t="s">
        <v>713</v>
      </c>
      <c r="D73" s="9" t="s">
        <v>560</v>
      </c>
      <c r="E73" s="16" t="s">
        <v>50</v>
      </c>
      <c r="F73" s="16">
        <v>4.0</v>
      </c>
      <c r="G73" s="16"/>
      <c r="H73" s="5">
        <v>3.0</v>
      </c>
    </row>
    <row r="74" ht="30.0" customHeight="1">
      <c r="A74" s="35"/>
      <c r="B74" s="9" t="s">
        <v>714</v>
      </c>
      <c r="C74" s="9" t="s">
        <v>715</v>
      </c>
      <c r="D74" s="9" t="s">
        <v>564</v>
      </c>
      <c r="E74" s="16" t="s">
        <v>67</v>
      </c>
      <c r="F74" s="16">
        <v>3.0</v>
      </c>
      <c r="G74" s="16"/>
      <c r="H74" s="5">
        <v>3.0</v>
      </c>
    </row>
    <row r="75" ht="15.75" customHeight="1">
      <c r="E75" s="27" t="s">
        <v>317</v>
      </c>
      <c r="F75" s="27">
        <f t="shared" ref="F75:G75" si="1">SUM(F4:F74)</f>
        <v>356</v>
      </c>
      <c r="G75" s="27">
        <f t="shared" si="1"/>
        <v>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39:A44"/>
    <mergeCell ref="A45:A50"/>
    <mergeCell ref="A51:A54"/>
    <mergeCell ref="A55:A62"/>
    <mergeCell ref="A63:A68"/>
    <mergeCell ref="A69:A74"/>
    <mergeCell ref="A4:A8"/>
    <mergeCell ref="A9:A13"/>
    <mergeCell ref="A14:A19"/>
    <mergeCell ref="A20:A24"/>
    <mergeCell ref="A25:A29"/>
    <mergeCell ref="A30:A32"/>
    <mergeCell ref="A33:A38"/>
  </mergeCells>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4.0"/>
    <col customWidth="1" min="2" max="2" width="16.0"/>
    <col customWidth="1" min="3" max="3" width="52.0"/>
    <col customWidth="1" min="4" max="4" width="44.0"/>
    <col customWidth="1" min="5" max="5" width="36.0"/>
    <col customWidth="1" min="6" max="6" width="30.0"/>
    <col customWidth="1" min="7" max="7" width="12.0"/>
    <col customWidth="1" min="8" max="26" width="8.71"/>
  </cols>
  <sheetData>
    <row r="1">
      <c r="A1" s="1" t="s">
        <v>716</v>
      </c>
    </row>
    <row r="2">
      <c r="A2" s="3" t="s">
        <v>717</v>
      </c>
    </row>
    <row r="3" ht="31.5" customHeight="1">
      <c r="A3" s="4" t="s">
        <v>718</v>
      </c>
      <c r="B3" s="4" t="s">
        <v>719</v>
      </c>
    </row>
    <row r="4" ht="31.5" customHeight="1">
      <c r="A4" s="6" t="s">
        <v>720</v>
      </c>
      <c r="B4" s="25" t="s">
        <v>721</v>
      </c>
      <c r="C4" s="20"/>
      <c r="D4" s="20"/>
      <c r="E4" s="20"/>
      <c r="F4" s="20"/>
      <c r="G4" s="20"/>
    </row>
    <row r="5" ht="31.5" customHeight="1">
      <c r="A5" s="6" t="s">
        <v>722</v>
      </c>
      <c r="B5" s="25" t="s">
        <v>723</v>
      </c>
      <c r="C5" s="20"/>
      <c r="D5" s="20"/>
      <c r="E5" s="20"/>
      <c r="F5" s="20"/>
      <c r="G5" s="20"/>
    </row>
    <row r="6" ht="31.5" customHeight="1">
      <c r="A6" s="6" t="s">
        <v>724</v>
      </c>
      <c r="B6" s="25" t="s">
        <v>725</v>
      </c>
      <c r="C6" s="20"/>
      <c r="D6" s="20"/>
      <c r="E6" s="20"/>
      <c r="F6" s="20"/>
      <c r="G6" s="20"/>
    </row>
    <row r="7" ht="31.5" customHeight="1">
      <c r="A7" s="6" t="s">
        <v>726</v>
      </c>
      <c r="B7" s="25" t="s">
        <v>727</v>
      </c>
      <c r="C7" s="20"/>
      <c r="D7" s="20"/>
      <c r="E7" s="20"/>
      <c r="F7" s="20"/>
      <c r="G7" s="20"/>
    </row>
    <row r="9">
      <c r="A9" s="6" t="s">
        <v>729</v>
      </c>
      <c r="B9" s="40" t="s">
        <v>169</v>
      </c>
    </row>
    <row r="10" ht="30.0" customHeight="1">
      <c r="A10" s="6" t="s">
        <v>732</v>
      </c>
      <c r="B10" s="25" t="str">
        <f>'Sprint planning'!E13</f>
        <v>Chúng ta tập trung vào gia sư đăng ký, đưa hồ sơ chuyên môn lên hệ thống và được admin kiểm duyệt để hồ sơ hiển thị công khai. Chúng ta tin điều này mang lại một kênh tự giới thiệu năng lực và sự tin cậy nhờ được kiểm duyệt cho gia sư và học viên. Điều này sẽ được xác nhận khi một gia sư thử nghiệm đăng ký, đăng nhập, điền xong hồ sơ; admin duyệt; rồi người chưa đăng nhập mở được trang chi tiết hồ sơ đã duyệt (hồ sơ chưa duyệt trả về 404).</v>
      </c>
      <c r="C10" s="20"/>
      <c r="D10" s="20"/>
      <c r="E10" s="20"/>
      <c r="F10" s="20"/>
      <c r="G10" s="20"/>
    </row>
    <row r="11">
      <c r="A11" s="6" t="s">
        <v>746</v>
      </c>
      <c r="B11" s="11">
        <f>'Sprint planning'!B13</f>
        <v>46321</v>
      </c>
      <c r="C11" s="6" t="s">
        <v>749</v>
      </c>
      <c r="D11" s="11">
        <f>'Sprint planning'!C13</f>
        <v>46339</v>
      </c>
    </row>
    <row r="12" ht="31.5" customHeight="1">
      <c r="A12" s="4" t="s">
        <v>754</v>
      </c>
      <c r="B12" s="4" t="s">
        <v>9</v>
      </c>
      <c r="C12" s="4" t="s">
        <v>755</v>
      </c>
      <c r="D12" s="4" t="s">
        <v>756</v>
      </c>
      <c r="E12" s="4" t="s">
        <v>757</v>
      </c>
      <c r="F12" s="4" t="s">
        <v>758</v>
      </c>
      <c r="G12" s="4" t="s">
        <v>759</v>
      </c>
    </row>
    <row r="13" ht="78.0" customHeight="1">
      <c r="A13" s="5" t="s">
        <v>760</v>
      </c>
      <c r="B13" s="5" t="s">
        <v>57</v>
      </c>
      <c r="C13" s="9" t="s">
        <v>761</v>
      </c>
      <c r="D13" s="9" t="s">
        <v>762</v>
      </c>
      <c r="E13" s="10"/>
      <c r="F13" s="10"/>
      <c r="G13" s="5" t="s">
        <v>68</v>
      </c>
    </row>
    <row r="14" ht="78.0" customHeight="1">
      <c r="A14" s="5" t="s">
        <v>763</v>
      </c>
      <c r="B14" s="5" t="s">
        <v>57</v>
      </c>
      <c r="C14" s="9" t="s">
        <v>764</v>
      </c>
      <c r="D14" s="9" t="s">
        <v>765</v>
      </c>
      <c r="E14" s="10"/>
      <c r="F14" s="10"/>
      <c r="G14" s="5" t="s">
        <v>68</v>
      </c>
    </row>
    <row r="15" ht="78.0" customHeight="1">
      <c r="A15" s="5" t="s">
        <v>760</v>
      </c>
      <c r="B15" s="5" t="s">
        <v>57</v>
      </c>
      <c r="C15" s="9" t="s">
        <v>766</v>
      </c>
      <c r="D15" s="9" t="s">
        <v>767</v>
      </c>
      <c r="E15" s="10"/>
      <c r="F15" s="10"/>
      <c r="G15" s="5" t="s">
        <v>68</v>
      </c>
    </row>
    <row r="16" ht="78.0" customHeight="1">
      <c r="A16" s="5" t="s">
        <v>768</v>
      </c>
      <c r="B16" s="5" t="s">
        <v>48</v>
      </c>
      <c r="C16" s="9" t="s">
        <v>769</v>
      </c>
      <c r="D16" s="9" t="s">
        <v>770</v>
      </c>
      <c r="E16" s="10"/>
      <c r="F16" s="10"/>
      <c r="G16" s="5" t="s">
        <v>68</v>
      </c>
    </row>
    <row r="17" ht="78.0" customHeight="1">
      <c r="A17" s="5" t="s">
        <v>760</v>
      </c>
      <c r="B17" s="5" t="s">
        <v>57</v>
      </c>
      <c r="C17" s="9" t="s">
        <v>771</v>
      </c>
      <c r="D17" s="9" t="s">
        <v>772</v>
      </c>
      <c r="E17" s="10"/>
      <c r="F17" s="10"/>
      <c r="G17" s="5" t="s">
        <v>68</v>
      </c>
    </row>
    <row r="18" ht="78.0" customHeight="1">
      <c r="A18" s="5" t="s">
        <v>773</v>
      </c>
      <c r="B18" s="5" t="s">
        <v>57</v>
      </c>
      <c r="C18" s="9" t="s">
        <v>774</v>
      </c>
      <c r="D18" s="9" t="s">
        <v>775</v>
      </c>
      <c r="E18" s="10"/>
      <c r="F18" s="10"/>
      <c r="G18" s="5" t="s">
        <v>68</v>
      </c>
    </row>
    <row r="21" ht="15.75" customHeight="1">
      <c r="A21" s="6" t="s">
        <v>729</v>
      </c>
      <c r="B21" s="40" t="s">
        <v>191</v>
      </c>
    </row>
    <row r="22" ht="30.0" customHeight="1">
      <c r="A22" s="6" t="s">
        <v>732</v>
      </c>
      <c r="B22" s="25" t="str">
        <f>'Sprint planning'!E14</f>
        <v>Chúng ta tập trung vào học viên tìm đúng gia sư theo môn và học phí rồi đặt được buổi học vào khung giờ rảnh của gia sư, và gia sư xác nhận được yêu cầu. Chúng ta tin điều này mang lại lịch học chắc chắn, không trùng giờ và đỡ mất thời gian tìm gia sư cho học viên và gia sư. Điều này sẽ được xác nhận khi một học viên thử lọc theo môn và khoảng giá (≤ 2 giây với 500 hồ sơ mẫu) và đặt một khung giờ; hai học viên cùng đặt một khung giờ thì chỉ một người thành công; gia sư chấp nhận để booking thành "Đã xác nhận" (phát hành V1.0).</v>
      </c>
      <c r="C22" s="20"/>
      <c r="D22" s="20"/>
      <c r="E22" s="20"/>
      <c r="F22" s="20"/>
      <c r="G22" s="20"/>
    </row>
    <row r="23" ht="15.75" customHeight="1">
      <c r="A23" s="6" t="s">
        <v>746</v>
      </c>
      <c r="B23" s="11">
        <f>'Sprint planning'!B14</f>
        <v>46342</v>
      </c>
      <c r="C23" s="6" t="s">
        <v>749</v>
      </c>
      <c r="D23" s="11">
        <f>'Sprint planning'!C14</f>
        <v>46360</v>
      </c>
    </row>
    <row r="24" ht="31.5" customHeight="1">
      <c r="A24" s="4" t="s">
        <v>754</v>
      </c>
      <c r="B24" s="4" t="s">
        <v>9</v>
      </c>
      <c r="C24" s="4" t="s">
        <v>755</v>
      </c>
      <c r="D24" s="4" t="s">
        <v>756</v>
      </c>
      <c r="E24" s="4" t="s">
        <v>757</v>
      </c>
      <c r="F24" s="4" t="s">
        <v>758</v>
      </c>
      <c r="G24" s="4" t="s">
        <v>759</v>
      </c>
    </row>
    <row r="25" ht="78.0" customHeight="1">
      <c r="A25" s="5" t="s">
        <v>763</v>
      </c>
      <c r="B25" s="5" t="s">
        <v>57</v>
      </c>
      <c r="C25" s="9" t="s">
        <v>784</v>
      </c>
      <c r="D25" s="9" t="s">
        <v>785</v>
      </c>
      <c r="E25" s="10"/>
      <c r="F25" s="10"/>
      <c r="G25" s="5" t="s">
        <v>68</v>
      </c>
    </row>
    <row r="26" ht="78.0" customHeight="1">
      <c r="A26" s="5" t="s">
        <v>760</v>
      </c>
      <c r="B26" s="5" t="s">
        <v>57</v>
      </c>
      <c r="C26" s="9" t="s">
        <v>786</v>
      </c>
      <c r="D26" s="9" t="s">
        <v>787</v>
      </c>
      <c r="E26" s="10"/>
      <c r="F26" s="10"/>
      <c r="G26" s="5" t="s">
        <v>68</v>
      </c>
    </row>
    <row r="27" ht="78.0" customHeight="1">
      <c r="A27" s="5" t="s">
        <v>760</v>
      </c>
      <c r="B27" s="5" t="s">
        <v>57</v>
      </c>
      <c r="C27" s="9" t="s">
        <v>789</v>
      </c>
      <c r="D27" s="9" t="s">
        <v>791</v>
      </c>
      <c r="E27" s="10"/>
      <c r="F27" s="10"/>
      <c r="G27" s="5" t="s">
        <v>68</v>
      </c>
    </row>
    <row r="28" ht="78.0" customHeight="1">
      <c r="A28" s="5" t="s">
        <v>773</v>
      </c>
      <c r="B28" s="5" t="s">
        <v>57</v>
      </c>
      <c r="C28" s="9" t="s">
        <v>793</v>
      </c>
      <c r="D28" s="9" t="s">
        <v>795</v>
      </c>
      <c r="E28" s="10"/>
      <c r="F28" s="10"/>
      <c r="G28" s="5" t="s">
        <v>68</v>
      </c>
    </row>
    <row r="29" ht="15.75" customHeight="1"/>
    <row r="30" ht="15.75" customHeight="1"/>
    <row r="31" ht="15.75" customHeight="1">
      <c r="A31" s="6" t="s">
        <v>729</v>
      </c>
      <c r="B31" s="40" t="s">
        <v>201</v>
      </c>
    </row>
    <row r="32" ht="30.0" customHeight="1">
      <c r="A32" s="6" t="s">
        <v>732</v>
      </c>
      <c r="B32" s="25" t="str">
        <f>'Sprint planning'!E15</f>
        <v>Chúng ta tập trung vào học viên thanh toán online và vào học video ngay trên web, và bản V2.0 sẵn sàng cho người dùng thật. Chúng ta tin điều này mang lại khả năng giữ chỗ buổi học không cần tiền mặt và học không phải cài thêm phần mềm cho học viên và gia sư. Điều này sẽ được xác nhận khi ≥ 5 người dùng thử hoàn thành trọn luồng đăng ký → tìm → đặt → thanh toán  → vào cùng phòng học đúng giờ trên bản chạy HTTPS .</v>
      </c>
      <c r="C32" s="20"/>
      <c r="D32" s="20"/>
      <c r="E32" s="20"/>
      <c r="F32" s="20"/>
      <c r="G32" s="20"/>
    </row>
    <row r="33" ht="15.75" customHeight="1">
      <c r="A33" s="6" t="s">
        <v>746</v>
      </c>
      <c r="B33" s="11">
        <f>'Sprint planning'!B15</f>
        <v>46363</v>
      </c>
      <c r="C33" s="6" t="s">
        <v>749</v>
      </c>
      <c r="D33" s="11">
        <f>'Sprint planning'!C15</f>
        <v>46381</v>
      </c>
    </row>
    <row r="34" ht="31.5" customHeight="1">
      <c r="A34" s="4" t="s">
        <v>754</v>
      </c>
      <c r="B34" s="4" t="s">
        <v>9</v>
      </c>
      <c r="C34" s="4" t="s">
        <v>755</v>
      </c>
      <c r="D34" s="4" t="s">
        <v>756</v>
      </c>
      <c r="E34" s="4" t="s">
        <v>757</v>
      </c>
      <c r="F34" s="4" t="s">
        <v>758</v>
      </c>
      <c r="G34" s="4" t="s">
        <v>759</v>
      </c>
    </row>
    <row r="35" ht="78.0" customHeight="1">
      <c r="A35" s="5" t="s">
        <v>768</v>
      </c>
      <c r="B35" s="5" t="s">
        <v>48</v>
      </c>
      <c r="C35" s="9" t="s">
        <v>816</v>
      </c>
      <c r="D35" s="9" t="s">
        <v>818</v>
      </c>
      <c r="E35" s="10"/>
      <c r="F35" s="10"/>
      <c r="G35" s="5" t="s">
        <v>68</v>
      </c>
    </row>
    <row r="36" ht="78.0" customHeight="1">
      <c r="A36" s="5" t="s">
        <v>768</v>
      </c>
      <c r="B36" s="5" t="s">
        <v>48</v>
      </c>
      <c r="C36" s="9" t="s">
        <v>821</v>
      </c>
      <c r="D36" s="9" t="s">
        <v>823</v>
      </c>
      <c r="E36" s="10"/>
      <c r="F36" s="10"/>
      <c r="G36" s="5" t="s">
        <v>68</v>
      </c>
    </row>
    <row r="37" ht="78.0" customHeight="1">
      <c r="A37" s="5" t="s">
        <v>768</v>
      </c>
      <c r="B37" s="5" t="s">
        <v>48</v>
      </c>
      <c r="C37" s="9" t="s">
        <v>830</v>
      </c>
      <c r="D37" s="9" t="s">
        <v>831</v>
      </c>
      <c r="E37" s="10"/>
      <c r="F37" s="10"/>
      <c r="G37" s="5" t="s">
        <v>68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4:G4"/>
    <mergeCell ref="B5:G5"/>
    <mergeCell ref="B6:G6"/>
    <mergeCell ref="B7:G7"/>
    <mergeCell ref="B10:G10"/>
    <mergeCell ref="B22:G22"/>
    <mergeCell ref="B32:G32"/>
  </mergeCells>
  <dataValidations>
    <dataValidation type="list" allowBlank="1" sqref="G13:G18 G25:G28 G35:G37">
      <formula1>"To do,In progress,Done"</formula1>
    </dataValidation>
  </dataValidations>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0"/>
    <col customWidth="1" min="2" max="3" width="44.0"/>
    <col customWidth="1" min="4" max="4" width="48.0"/>
    <col customWidth="1" min="5" max="7" width="26.0"/>
    <col customWidth="1" min="8" max="26" width="8.71"/>
  </cols>
  <sheetData>
    <row r="1">
      <c r="A1" s="1" t="s">
        <v>728</v>
      </c>
    </row>
    <row r="2">
      <c r="A2" s="3" t="s">
        <v>730</v>
      </c>
    </row>
    <row r="3" ht="31.5" customHeight="1">
      <c r="A3" s="4" t="s">
        <v>14</v>
      </c>
      <c r="B3" s="4" t="s">
        <v>731</v>
      </c>
      <c r="C3" s="4" t="s">
        <v>733</v>
      </c>
      <c r="D3" s="4" t="s">
        <v>734</v>
      </c>
      <c r="E3" s="4" t="s">
        <v>735</v>
      </c>
      <c r="F3" s="4" t="s">
        <v>736</v>
      </c>
      <c r="G3" s="4" t="s">
        <v>737</v>
      </c>
    </row>
    <row r="4" ht="79.5" customHeight="1">
      <c r="A4" s="41" t="s">
        <v>738</v>
      </c>
      <c r="B4" s="41" t="s">
        <v>739</v>
      </c>
      <c r="C4" s="41" t="s">
        <v>740</v>
      </c>
      <c r="D4" s="41" t="s">
        <v>741</v>
      </c>
      <c r="E4" s="41" t="s">
        <v>742</v>
      </c>
      <c r="F4" s="41" t="s">
        <v>743</v>
      </c>
      <c r="G4" s="41" t="s">
        <v>744</v>
      </c>
    </row>
    <row r="5" ht="90.0" customHeight="1">
      <c r="A5" s="8" t="s">
        <v>745</v>
      </c>
      <c r="B5" s="10"/>
      <c r="C5" s="10"/>
      <c r="D5" s="10"/>
      <c r="E5" s="10"/>
      <c r="F5" s="10"/>
      <c r="G5" s="10"/>
    </row>
    <row r="6" ht="90.0" customHeight="1">
      <c r="A6" s="8" t="s">
        <v>747</v>
      </c>
      <c r="B6" s="10"/>
      <c r="C6" s="10"/>
      <c r="D6" s="10"/>
      <c r="E6" s="10"/>
      <c r="F6" s="10"/>
      <c r="G6" s="10"/>
    </row>
    <row r="7" ht="90.0" customHeight="1">
      <c r="A7" s="8" t="s">
        <v>748</v>
      </c>
      <c r="B7" s="10"/>
      <c r="C7" s="10"/>
      <c r="D7" s="10"/>
      <c r="E7" s="10"/>
      <c r="F7" s="10"/>
      <c r="G7" s="10"/>
    </row>
    <row r="11">
      <c r="A11" s="22" t="s">
        <v>750</v>
      </c>
    </row>
    <row r="12">
      <c r="A12" s="26" t="s">
        <v>751</v>
      </c>
    </row>
    <row r="13">
      <c r="A13" s="26" t="s">
        <v>752</v>
      </c>
    </row>
    <row r="14">
      <c r="A14" s="26" t="s">
        <v>753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2" width="46.0"/>
    <col customWidth="1" min="3" max="4" width="14.0"/>
    <col customWidth="1" min="5" max="5" width="62.0"/>
    <col customWidth="1" min="6" max="6" width="14.0"/>
    <col customWidth="1" min="7" max="7" width="16.0"/>
    <col customWidth="1" min="8" max="26" width="8.71"/>
  </cols>
  <sheetData>
    <row r="1">
      <c r="A1" s="1" t="s">
        <v>776</v>
      </c>
    </row>
    <row r="2">
      <c r="A2" s="3" t="s">
        <v>777</v>
      </c>
    </row>
    <row r="3" ht="31.5" customHeight="1">
      <c r="A3" s="4" t="s">
        <v>778</v>
      </c>
      <c r="B3" s="4" t="s">
        <v>779</v>
      </c>
      <c r="C3" s="4" t="s">
        <v>780</v>
      </c>
      <c r="D3" s="4" t="s">
        <v>781</v>
      </c>
      <c r="E3" s="4" t="s">
        <v>782</v>
      </c>
      <c r="F3" s="4" t="s">
        <v>783</v>
      </c>
      <c r="G3" s="4" t="s">
        <v>759</v>
      </c>
    </row>
    <row r="4" ht="43.5" customHeight="1">
      <c r="A4" s="8" t="s">
        <v>788</v>
      </c>
      <c r="B4" s="9" t="s">
        <v>790</v>
      </c>
      <c r="C4" s="5" t="s">
        <v>156</v>
      </c>
      <c r="D4" s="5" t="s">
        <v>28</v>
      </c>
      <c r="E4" s="9" t="s">
        <v>792</v>
      </c>
      <c r="F4" s="5" t="s">
        <v>50</v>
      </c>
      <c r="G4" s="5" t="s">
        <v>794</v>
      </c>
    </row>
    <row r="5" ht="43.5" customHeight="1">
      <c r="A5" s="8" t="s">
        <v>796</v>
      </c>
      <c r="B5" s="9" t="s">
        <v>797</v>
      </c>
      <c r="C5" s="5" t="s">
        <v>28</v>
      </c>
      <c r="D5" s="5" t="s">
        <v>28</v>
      </c>
      <c r="E5" s="9" t="s">
        <v>798</v>
      </c>
      <c r="F5" s="5" t="s">
        <v>58</v>
      </c>
      <c r="G5" s="5" t="s">
        <v>794</v>
      </c>
    </row>
    <row r="6" ht="43.5" customHeight="1">
      <c r="A6" s="8" t="s">
        <v>799</v>
      </c>
      <c r="B6" s="9" t="s">
        <v>800</v>
      </c>
      <c r="C6" s="5" t="s">
        <v>156</v>
      </c>
      <c r="D6" s="5" t="s">
        <v>28</v>
      </c>
      <c r="E6" s="9" t="s">
        <v>801</v>
      </c>
      <c r="F6" s="5" t="s">
        <v>58</v>
      </c>
      <c r="G6" s="5" t="s">
        <v>794</v>
      </c>
    </row>
    <row r="7" ht="43.5" customHeight="1">
      <c r="A7" s="8" t="s">
        <v>802</v>
      </c>
      <c r="B7" s="9" t="s">
        <v>803</v>
      </c>
      <c r="C7" s="5" t="s">
        <v>103</v>
      </c>
      <c r="D7" s="5" t="s">
        <v>28</v>
      </c>
      <c r="E7" s="9" t="s">
        <v>804</v>
      </c>
      <c r="F7" s="5" t="s">
        <v>50</v>
      </c>
      <c r="G7" s="5" t="s">
        <v>794</v>
      </c>
    </row>
    <row r="8" ht="43.5" customHeight="1">
      <c r="A8" s="8" t="s">
        <v>805</v>
      </c>
      <c r="B8" s="9" t="s">
        <v>806</v>
      </c>
      <c r="C8" s="5" t="s">
        <v>156</v>
      </c>
      <c r="D8" s="5" t="s">
        <v>156</v>
      </c>
      <c r="E8" s="9" t="s">
        <v>807</v>
      </c>
      <c r="F8" s="5" t="s">
        <v>50</v>
      </c>
      <c r="G8" s="5" t="s">
        <v>794</v>
      </c>
    </row>
    <row r="9" ht="43.5" customHeight="1">
      <c r="A9" s="8" t="s">
        <v>808</v>
      </c>
      <c r="B9" s="9" t="s">
        <v>809</v>
      </c>
      <c r="C9" s="5" t="s">
        <v>156</v>
      </c>
      <c r="D9" s="5" t="s">
        <v>156</v>
      </c>
      <c r="E9" s="9" t="s">
        <v>810</v>
      </c>
      <c r="F9" s="5" t="s">
        <v>25</v>
      </c>
      <c r="G9" s="5" t="s">
        <v>794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43"/>
    <col customWidth="1" min="2" max="2" width="62.0"/>
    <col customWidth="1" min="3" max="6" width="15.0"/>
    <col customWidth="1" min="7" max="7" width="20.0"/>
    <col customWidth="1" min="8" max="8" width="14.0"/>
    <col customWidth="1" min="9" max="9" width="52.0"/>
    <col customWidth="1" min="10" max="26" width="8.71"/>
  </cols>
  <sheetData>
    <row r="1">
      <c r="A1" s="1" t="s">
        <v>811</v>
      </c>
    </row>
    <row r="2">
      <c r="A2" s="42" t="s">
        <v>812</v>
      </c>
    </row>
    <row r="3">
      <c r="A3" s="42" t="s">
        <v>813</v>
      </c>
      <c r="C3" s="43">
        <v>46314.0</v>
      </c>
    </row>
    <row r="4">
      <c r="A4" s="42" t="s">
        <v>814</v>
      </c>
      <c r="C4" s="43">
        <v>46391.0</v>
      </c>
    </row>
    <row r="5">
      <c r="A5" s="42" t="s">
        <v>815</v>
      </c>
      <c r="C5" s="44" t="s">
        <v>817</v>
      </c>
    </row>
    <row r="7" ht="41.25" customHeight="1">
      <c r="A7" s="4" t="s">
        <v>819</v>
      </c>
      <c r="B7" s="4" t="s">
        <v>820</v>
      </c>
      <c r="C7" s="4" t="s">
        <v>822</v>
      </c>
      <c r="D7" s="4" t="s">
        <v>824</v>
      </c>
      <c r="E7" s="4" t="s">
        <v>825</v>
      </c>
      <c r="F7" s="4" t="s">
        <v>826</v>
      </c>
      <c r="G7" s="4" t="s">
        <v>827</v>
      </c>
      <c r="H7" s="4" t="s">
        <v>828</v>
      </c>
      <c r="I7" s="4" t="s">
        <v>829</v>
      </c>
    </row>
    <row r="8" ht="33.75" customHeight="1">
      <c r="A8" s="5">
        <v>1.0</v>
      </c>
      <c r="B8" s="9" t="s">
        <v>832</v>
      </c>
      <c r="C8" s="45">
        <v>46314.0</v>
      </c>
      <c r="D8" s="21"/>
      <c r="E8" s="45">
        <v>46318.0</v>
      </c>
      <c r="F8" s="21"/>
      <c r="G8" s="5" t="s">
        <v>833</v>
      </c>
      <c r="H8" s="5" t="s">
        <v>834</v>
      </c>
      <c r="I8" s="9" t="s">
        <v>835</v>
      </c>
    </row>
    <row r="9" ht="33.75" customHeight="1">
      <c r="A9" s="5">
        <v>2.0</v>
      </c>
      <c r="B9" s="9" t="s">
        <v>836</v>
      </c>
      <c r="C9" s="45">
        <v>46321.0</v>
      </c>
      <c r="D9" s="21"/>
      <c r="E9" s="45">
        <v>46339.0</v>
      </c>
      <c r="F9" s="21"/>
      <c r="G9" s="5" t="s">
        <v>833</v>
      </c>
      <c r="H9" s="5" t="s">
        <v>837</v>
      </c>
      <c r="I9" s="9" t="s">
        <v>838</v>
      </c>
    </row>
    <row r="10" ht="33.75" customHeight="1">
      <c r="A10" s="5">
        <v>3.0</v>
      </c>
      <c r="B10" s="9" t="s">
        <v>839</v>
      </c>
      <c r="C10" s="45">
        <v>46339.0</v>
      </c>
      <c r="D10" s="21"/>
      <c r="E10" s="45">
        <v>46339.0</v>
      </c>
      <c r="F10" s="21"/>
      <c r="G10" s="5" t="s">
        <v>833</v>
      </c>
      <c r="H10" s="5" t="s">
        <v>837</v>
      </c>
      <c r="I10" s="9" t="s">
        <v>840</v>
      </c>
    </row>
    <row r="11" ht="38.25" customHeight="1">
      <c r="A11" s="5">
        <v>4.0</v>
      </c>
      <c r="B11" s="9" t="s">
        <v>841</v>
      </c>
      <c r="C11" s="45">
        <v>46342.0</v>
      </c>
      <c r="D11" s="21"/>
      <c r="E11" s="45">
        <v>46360.0</v>
      </c>
      <c r="F11" s="21"/>
      <c r="G11" s="5" t="s">
        <v>833</v>
      </c>
      <c r="H11" s="5" t="s">
        <v>837</v>
      </c>
      <c r="I11" s="9" t="s">
        <v>842</v>
      </c>
    </row>
    <row r="12" ht="33.75" customHeight="1">
      <c r="A12" s="5">
        <v>5.0</v>
      </c>
      <c r="B12" s="9" t="s">
        <v>843</v>
      </c>
      <c r="C12" s="45">
        <v>46360.0</v>
      </c>
      <c r="D12" s="21"/>
      <c r="E12" s="45">
        <v>46360.0</v>
      </c>
      <c r="F12" s="21"/>
      <c r="G12" s="5" t="s">
        <v>833</v>
      </c>
      <c r="H12" s="5" t="s">
        <v>837</v>
      </c>
      <c r="I12" s="9" t="s">
        <v>840</v>
      </c>
    </row>
    <row r="13" ht="33.75" customHeight="1">
      <c r="A13" s="5">
        <v>6.0</v>
      </c>
      <c r="B13" s="9" t="s">
        <v>844</v>
      </c>
      <c r="C13" s="45">
        <v>46363.0</v>
      </c>
      <c r="D13" s="21"/>
      <c r="E13" s="45">
        <v>46381.0</v>
      </c>
      <c r="F13" s="21"/>
      <c r="G13" s="5" t="s">
        <v>833</v>
      </c>
      <c r="H13" s="5" t="s">
        <v>837</v>
      </c>
      <c r="I13" s="9" t="s">
        <v>845</v>
      </c>
    </row>
    <row r="14" ht="33.75" customHeight="1">
      <c r="A14" s="5">
        <v>7.0</v>
      </c>
      <c r="B14" s="9" t="s">
        <v>846</v>
      </c>
      <c r="C14" s="45">
        <v>46381.0</v>
      </c>
      <c r="D14" s="21"/>
      <c r="E14" s="45">
        <v>46381.0</v>
      </c>
      <c r="F14" s="21"/>
      <c r="G14" s="5" t="s">
        <v>833</v>
      </c>
      <c r="H14" s="5" t="s">
        <v>837</v>
      </c>
      <c r="I14" s="9" t="s">
        <v>840</v>
      </c>
    </row>
    <row r="15" ht="33.75" customHeight="1">
      <c r="A15" s="5">
        <v>8.0</v>
      </c>
      <c r="B15" s="9" t="s">
        <v>847</v>
      </c>
      <c r="C15" s="45">
        <v>46360.0</v>
      </c>
      <c r="D15" s="21"/>
      <c r="E15" s="45">
        <v>46360.0</v>
      </c>
      <c r="F15" s="21"/>
      <c r="G15" s="5" t="s">
        <v>833</v>
      </c>
      <c r="H15" s="5" t="s">
        <v>50</v>
      </c>
      <c r="I15" s="9" t="s">
        <v>848</v>
      </c>
    </row>
    <row r="16" ht="33.75" customHeight="1">
      <c r="A16" s="5">
        <v>9.0</v>
      </c>
      <c r="B16" s="9" t="s">
        <v>849</v>
      </c>
      <c r="C16" s="45">
        <v>46381.0</v>
      </c>
      <c r="D16" s="21"/>
      <c r="E16" s="45">
        <v>46381.0</v>
      </c>
      <c r="F16" s="21"/>
      <c r="G16" s="5" t="s">
        <v>833</v>
      </c>
      <c r="H16" s="5" t="s">
        <v>50</v>
      </c>
      <c r="I16" s="9" t="s">
        <v>850</v>
      </c>
    </row>
    <row r="17" ht="33.75" customHeight="1">
      <c r="A17" s="5">
        <v>10.0</v>
      </c>
      <c r="B17" s="9" t="s">
        <v>851</v>
      </c>
      <c r="C17" s="45">
        <v>46384.0</v>
      </c>
      <c r="D17" s="21"/>
      <c r="E17" s="45">
        <v>46391.0</v>
      </c>
      <c r="F17" s="21"/>
      <c r="G17" s="5" t="s">
        <v>833</v>
      </c>
      <c r="H17" s="5" t="s">
        <v>837</v>
      </c>
      <c r="I17" s="9" t="s">
        <v>852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8:G17">
      <formula1>"On-go,Done,Late,Pending"</formula1>
    </dataValidation>
  </dataValidations>
  <printOptions/>
  <pageMargins bottom="1.0" footer="0.0" header="0.0" left="0.75" right="0.75" top="1.0"/>
  <pageSetup fitToHeight="0" orientation="landscape"/>
  <drawing r:id="rId1"/>
</worksheet>
</file>